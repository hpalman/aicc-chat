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aicc-dev\aicc\aicc-chat\doc\"/>
    </mc:Choice>
  </mc:AlternateContent>
  <xr:revisionPtr revIDLastSave="0" documentId="13_ncr:1_{1F9E9766-F52F-4D2A-9B3F-4CDFB48BFD2D}" xr6:coauthVersionLast="47" xr6:coauthVersionMax="47" xr10:uidLastSave="{00000000-0000-0000-0000-000000000000}"/>
  <bookViews>
    <workbookView xWindow="-120" yWindow="-120" windowWidth="38640" windowHeight="21120" activeTab="1" xr2:uid="{AEC7F1D9-DAA8-440B-90E6-4D2B4B512AE2}"/>
  </bookViews>
  <sheets>
    <sheet name="달력202601" sheetId="1" r:id="rId1"/>
    <sheet name="주간업무보고" sheetId="2" r:id="rId2"/>
    <sheet name="관련API(조사중)" sheetId="3" r:id="rId3"/>
    <sheet name="AICC-CHAT 모델" sheetId="4" r:id="rId4"/>
    <sheet name="AICC-CHAT 메시지" sheetId="5" r:id="rId5"/>
    <sheet name="Sheet1"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6" l="1"/>
  <c r="E4" i="6"/>
  <c r="E5" i="6"/>
  <c r="E6" i="6"/>
  <c r="E7" i="6"/>
  <c r="E8" i="6"/>
  <c r="E9" i="6"/>
  <c r="E10" i="6"/>
  <c r="E11" i="6"/>
  <c r="E12" i="6"/>
  <c r="E13" i="6"/>
  <c r="E14" i="6"/>
  <c r="E15" i="6"/>
  <c r="E16" i="6"/>
  <c r="E17" i="6"/>
  <c r="E18" i="6"/>
  <c r="E19" i="6"/>
  <c r="E20" i="6"/>
  <c r="E21" i="6"/>
  <c r="E22" i="6"/>
  <c r="E23" i="6"/>
  <c r="E24" i="6"/>
  <c r="E25" i="6"/>
  <c r="E26" i="6"/>
  <c r="E2" i="6"/>
  <c r="E31" i="2"/>
  <c r="J22" i="1"/>
  <c r="J20" i="1"/>
  <c r="J18" i="1"/>
  <c r="J16" i="1"/>
  <c r="J11" i="1"/>
  <c r="J9" i="1"/>
  <c r="J7" i="1"/>
  <c r="I25" i="1"/>
  <c r="C3" i="1"/>
  <c r="D3" i="1" s="1"/>
  <c r="E3" i="1" s="1"/>
  <c r="F3" i="1" s="1"/>
  <c r="G3" i="1" s="1"/>
  <c r="H3" i="1" s="1"/>
  <c r="B5" i="1" s="1"/>
  <c r="C5" i="1" s="1"/>
  <c r="D5" i="1" s="1"/>
  <c r="E5" i="1" s="1"/>
  <c r="F5" i="1" s="1"/>
  <c r="G5" i="1" s="1"/>
  <c r="H5" i="1" s="1"/>
  <c r="B7" i="1" s="1"/>
  <c r="C7" i="1" s="1"/>
  <c r="D7" i="1" s="1"/>
  <c r="E7" i="1" s="1"/>
  <c r="F7" i="1" s="1"/>
  <c r="G7" i="1" s="1"/>
  <c r="H7" i="1" s="1"/>
  <c r="B9" i="1" s="1"/>
  <c r="C9" i="1" s="1"/>
  <c r="D9" i="1" s="1"/>
  <c r="E9" i="1" s="1"/>
  <c r="F9" i="1" s="1"/>
  <c r="G9" i="1" s="1"/>
  <c r="H9" i="1" s="1"/>
  <c r="B11" i="1" s="1"/>
  <c r="C11" i="1" s="1"/>
  <c r="D11" i="1" s="1"/>
  <c r="E11" i="1" s="1"/>
  <c r="F11" i="1" s="1"/>
  <c r="G11" i="1" s="1"/>
  <c r="H11" i="1" s="1"/>
  <c r="B16" i="1" s="1"/>
  <c r="C16" i="1" s="1"/>
  <c r="D16" i="1" s="1"/>
  <c r="E16" i="1" s="1"/>
  <c r="F16" i="1" s="1"/>
  <c r="G16" i="1" s="1"/>
  <c r="H16" i="1" s="1"/>
  <c r="B18" i="1" s="1"/>
  <c r="C18" i="1" s="1"/>
  <c r="D18" i="1" s="1"/>
  <c r="E18" i="1" s="1"/>
  <c r="F18" i="1" s="1"/>
  <c r="G18" i="1" s="1"/>
  <c r="H18" i="1" s="1"/>
  <c r="B20" i="1" s="1"/>
  <c r="C20" i="1" s="1"/>
  <c r="D20" i="1" s="1"/>
  <c r="E20" i="1" s="1"/>
  <c r="F20" i="1" s="1"/>
  <c r="G20" i="1" s="1"/>
  <c r="H20" i="1" s="1"/>
  <c r="B22" i="1" s="1"/>
  <c r="C22" i="1" s="1"/>
  <c r="D22" i="1" s="1"/>
  <c r="E22" i="1" s="1"/>
  <c r="F22" i="1" s="1"/>
  <c r="G22" i="1" s="1"/>
  <c r="H22" i="1" s="1"/>
  <c r="B24" i="1" s="1"/>
  <c r="C24" i="1" s="1"/>
  <c r="D24" i="1" s="1"/>
  <c r="E24" i="1" s="1"/>
  <c r="F24" i="1" s="1"/>
  <c r="G24" i="1" s="1"/>
  <c r="H2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25" authorId="0" shapeId="0" xr:uid="{426A6E3D-BEA0-4F65-AB36-3BB1D037CA54}">
      <text>
        <r>
          <rPr>
            <b/>
            <sz val="9"/>
            <color indexed="81"/>
            <rFont val="돋움"/>
            <family val="3"/>
            <charset val="129"/>
          </rPr>
          <t>전체개발일수</t>
        </r>
      </text>
    </comment>
  </commentList>
</comments>
</file>

<file path=xl/sharedStrings.xml><?xml version="1.0" encoding="utf-8"?>
<sst xmlns="http://schemas.openxmlformats.org/spreadsheetml/2006/main" count="280" uniqueCount="205">
  <si>
    <t>일 SUN 日</t>
    <phoneticPr fontId="1" type="noConversion"/>
  </si>
  <si>
    <t>월 MON 月</t>
    <phoneticPr fontId="1" type="noConversion"/>
  </si>
  <si>
    <t>화 TUE 火</t>
    <phoneticPr fontId="1" type="noConversion"/>
  </si>
  <si>
    <t>수 WEB 水</t>
    <phoneticPr fontId="1" type="noConversion"/>
  </si>
  <si>
    <t>목 THU 木</t>
    <phoneticPr fontId="1" type="noConversion"/>
  </si>
  <si>
    <t>금 FRI 金</t>
    <phoneticPr fontId="1" type="noConversion"/>
  </si>
  <si>
    <t>토 SAT 土</t>
    <phoneticPr fontId="1" type="noConversion"/>
  </si>
  <si>
    <t>휴가복귀
aicc 개발 환경 정보 파악</t>
    <phoneticPr fontId="1" type="noConversion"/>
  </si>
  <si>
    <t>aicc 개발 환경 정보 구성(노트북)</t>
    <phoneticPr fontId="1" type="noConversion"/>
  </si>
  <si>
    <t>aicc/aicc-chat
aicc/customer-chat
aicc/customer-chat-backend ASIS 설명 청취(권,김,허),구동</t>
    <phoneticPr fontId="1" type="noConversion"/>
  </si>
  <si>
    <t>ㅁ aicc-chat RedisOnly에서 채팅 테스트 작업
ㅁ bot 에뮬 작성(vpn은 힘들어요)
ㅁ 웹채팅용 stomp 메시지 패킷 정리</t>
    <phoneticPr fontId="1" type="noConversion"/>
  </si>
  <si>
    <t>ㅁ aicc-chat 배정로직 작성
ㅁ 어떤 프레임워크를 사용해서 프로토타입을 만들것인가?(BACKEND, FRONTEND)</t>
    <phoneticPr fontId="1" type="noConversion"/>
  </si>
  <si>
    <t xml:space="preserve">aicc 개발환경 구축/점검 확인
ㅁ vm win11설치 및 확인(vm까진 불필요함)
aicc-chat Flow(주요흐름) 작성
</t>
    <phoneticPr fontId="1" type="noConversion"/>
  </si>
  <si>
    <t>ㅁ상담사가 고객방에 들어가서 메시징 보내기
ㅁ고객방에 상담사 연결 시 모드 상담사로 변경
ㅁ bot 에뮬 작성(vpn은 힘들어요)</t>
    <phoneticPr fontId="1" type="noConversion"/>
  </si>
  <si>
    <t>금주 업무</t>
    <phoneticPr fontId="1" type="noConversion"/>
  </si>
  <si>
    <t>차주 업무</t>
    <phoneticPr fontId="1" type="noConversion"/>
  </si>
  <si>
    <t>기능</t>
  </si>
  <si>
    <t>구분</t>
  </si>
  <si>
    <t>경로</t>
  </si>
  <si>
    <t>설명</t>
  </si>
  <si>
    <t>로그인 검증</t>
  </si>
  <si>
    <t>API</t>
  </si>
  <si>
    <t>GET /api/auth/check/{id}</t>
  </si>
  <si>
    <t>입장 전 허용된 ID인지 확인</t>
  </si>
  <si>
    <t>채팅 종료</t>
  </si>
  <si>
    <t>POST /api/chat/close</t>
  </si>
  <si>
    <t>상담사가 명시적으로 상담을 종료할 때 호출</t>
  </si>
  <si>
    <t>초대 전송</t>
  </si>
  <si>
    <t>WS</t>
  </si>
  <si>
    <t>/pub/chat/message (INVITE)</t>
  </si>
  <si>
    <t>다른 상담사를 방으로 초대</t>
  </si>
  <si>
    <t>초대 수신</t>
  </si>
  <si>
    <t>/sub/chat/agents/{agentId}</t>
  </si>
  <si>
    <t>특정 상담사에게만 초대 알림 전달</t>
  </si>
  <si>
    <t>메서드</t>
  </si>
  <si>
    <t>Endpoint</t>
  </si>
  <si>
    <t>봇 응답 콜백</t>
  </si>
  <si>
    <t>POST</t>
  </si>
  <si>
    <t>/api/bot/callback</t>
  </si>
  <si>
    <t>외부 봇 서버가 답변을 보낼 때 호출</t>
  </si>
  <si>
    <t>채팅방 목록 조회</t>
  </si>
  <si>
    <t>GET</t>
  </si>
  <si>
    <t>/api/chat/rooms</t>
  </si>
  <si>
    <t>(관리용) 현재 활성화된 채팅방 목록 조회</t>
  </si>
  <si>
    <t>채팅 이력 조회</t>
  </si>
  <si>
    <t>/api/chat/history/{userId}</t>
  </si>
  <si>
    <t>(UI용) 이전 대화 내용 불러오기</t>
  </si>
  <si>
    <t>상담사 상태 변경</t>
  </si>
  <si>
    <t>PATCH</t>
  </si>
  <si>
    <t>/api/agent/status</t>
  </si>
  <si>
    <t>상담사의 로그인/로그아웃/자리비움 상태 변경</t>
  </si>
  <si>
    <t>방식</t>
  </si>
  <si>
    <t>Endpoint (Destination)</t>
  </si>
  <si>
    <t>메시지 전송</t>
  </si>
  <si>
    <t>PUB</t>
  </si>
  <si>
    <t>/pub/chat/message</t>
  </si>
  <si>
    <t>고객/상담사의 모든 메시지 발신</t>
  </si>
  <si>
    <t>개별 채팅 구독</t>
  </si>
  <si>
    <t>SUB</t>
  </si>
  <si>
    <t>/sub/chat/room/{userId}</t>
  </si>
  <si>
    <t>본인에게 오는 메시지 수신 (1:1 상담, 봇 응답)</t>
  </si>
  <si>
    <t>상담사 알림 구독</t>
  </si>
  <si>
    <t>/sub/chat/agents</t>
  </si>
  <si>
    <t>상담사가 새로운 고객 호출(CALL_AGENT)을 감지</t>
  </si>
  <si>
    <t>전체 공지 구독</t>
  </si>
  <si>
    <t>/sub/chat/room/ALL</t>
  </si>
  <si>
    <t>모든 사용자가 관리자 공지(NOTICE) 수신</t>
  </si>
  <si>
    <t>API 목록 및 웹 채팅 관리 (정리)</t>
    <phoneticPr fontId="1" type="noConversion"/>
  </si>
  <si>
    <t>HTTP REST API</t>
    <phoneticPr fontId="1" type="noConversion"/>
  </si>
  <si>
    <t>WebSocket (STOMP) API</t>
    <phoneticPr fontId="1" type="noConversion"/>
  </si>
  <si>
    <r>
      <rPr>
        <sz val="10"/>
        <color theme="1"/>
        <rFont val="맑은 고딕"/>
        <family val="2"/>
        <charset val="129"/>
      </rPr>
      <t>상담원</t>
    </r>
    <r>
      <rPr>
        <sz val="10"/>
        <color theme="1"/>
        <rFont val="Arial"/>
        <family val="2"/>
      </rPr>
      <t xml:space="preserve"> </t>
    </r>
    <r>
      <rPr>
        <sz val="10"/>
        <color theme="1"/>
        <rFont val="맑은 고딕"/>
        <family val="2"/>
        <charset val="129"/>
      </rPr>
      <t>연결</t>
    </r>
    <r>
      <rPr>
        <sz val="10"/>
        <color theme="1"/>
        <rFont val="Arial"/>
        <family val="2"/>
      </rPr>
      <t xml:space="preserve"> </t>
    </r>
    <r>
      <rPr>
        <sz val="10"/>
        <color theme="1"/>
        <rFont val="맑은 고딕"/>
        <family val="2"/>
        <charset val="129"/>
      </rPr>
      <t>신청</t>
    </r>
    <phoneticPr fontId="1" type="noConversion"/>
  </si>
  <si>
    <r>
      <rPr>
        <sz val="10"/>
        <color theme="1"/>
        <rFont val="맑은 고딕"/>
        <family val="2"/>
        <charset val="129"/>
      </rPr>
      <t>상담원</t>
    </r>
    <r>
      <rPr>
        <sz val="10"/>
        <color theme="1"/>
        <rFont val="Arial"/>
        <family val="2"/>
      </rPr>
      <t xml:space="preserve"> </t>
    </r>
    <r>
      <rPr>
        <sz val="10"/>
        <color theme="1"/>
        <rFont val="맑은 고딕"/>
        <family val="2"/>
        <charset val="129"/>
      </rPr>
      <t>연결</t>
    </r>
    <r>
      <rPr>
        <sz val="10"/>
        <color theme="1"/>
        <rFont val="Arial"/>
        <family val="2"/>
      </rPr>
      <t xml:space="preserve"> </t>
    </r>
    <r>
      <rPr>
        <sz val="10"/>
        <color theme="1"/>
        <rFont val="맑은 고딕"/>
        <family val="2"/>
        <charset val="129"/>
      </rPr>
      <t>수락</t>
    </r>
    <phoneticPr fontId="1" type="noConversion"/>
  </si>
  <si>
    <r>
      <rPr>
        <sz val="10"/>
        <color theme="1"/>
        <rFont val="맑은 고딕"/>
        <family val="2"/>
        <charset val="129"/>
      </rPr>
      <t>상담원</t>
    </r>
    <r>
      <rPr>
        <sz val="10"/>
        <color theme="1"/>
        <rFont val="Arial"/>
        <family val="2"/>
      </rPr>
      <t xml:space="preserve"> </t>
    </r>
    <r>
      <rPr>
        <sz val="10"/>
        <color theme="1"/>
        <rFont val="맑은 고딕"/>
        <family val="2"/>
        <charset val="129"/>
      </rPr>
      <t>연결</t>
    </r>
    <r>
      <rPr>
        <sz val="10"/>
        <color theme="1"/>
        <rFont val="Arial"/>
        <family val="2"/>
      </rPr>
      <t xml:space="preserve"> </t>
    </r>
    <r>
      <rPr>
        <sz val="10"/>
        <color theme="1"/>
        <rFont val="맑은 고딕"/>
        <family val="2"/>
        <charset val="129"/>
      </rPr>
      <t>거부</t>
    </r>
    <phoneticPr fontId="1" type="noConversion"/>
  </si>
  <si>
    <r>
      <rPr>
        <sz val="10"/>
        <color theme="1"/>
        <rFont val="맑은 고딕"/>
        <family val="2"/>
        <charset val="129"/>
      </rPr>
      <t>상담원</t>
    </r>
    <r>
      <rPr>
        <sz val="10"/>
        <color theme="1"/>
        <rFont val="Arial"/>
        <family val="2"/>
      </rPr>
      <t xml:space="preserve"> </t>
    </r>
    <r>
      <rPr>
        <sz val="10"/>
        <color theme="1"/>
        <rFont val="맑은 고딕"/>
        <family val="2"/>
        <charset val="129"/>
      </rPr>
      <t>연결</t>
    </r>
    <r>
      <rPr>
        <sz val="10"/>
        <color theme="1"/>
        <rFont val="Arial"/>
        <family val="2"/>
      </rPr>
      <t xml:space="preserve"> </t>
    </r>
    <r>
      <rPr>
        <sz val="10"/>
        <color theme="1"/>
        <rFont val="맑은 고딕"/>
        <family val="2"/>
        <charset val="129"/>
      </rPr>
      <t>종료</t>
    </r>
    <phoneticPr fontId="1" type="noConversion"/>
  </si>
  <si>
    <t>메시지 게이트웨이(G/W)</t>
    <phoneticPr fontId="1" type="noConversion"/>
  </si>
  <si>
    <t>. BOT 서비스 중계 AGENT 사용(에뮬레이터 개발)</t>
    <phoneticPr fontId="1" type="noConversion"/>
  </si>
  <si>
    <t>. BOT 서비스 비동기 호출(변경)</t>
    <phoneticPr fontId="1" type="noConversion"/>
  </si>
  <si>
    <t>. HTTP(S) REST API</t>
    <phoneticPr fontId="1" type="noConversion"/>
  </si>
  <si>
    <t>. BOT CALLBACK API</t>
    <phoneticPr fontId="1" type="noConversion"/>
  </si>
  <si>
    <t>. WS Pub/Sub API</t>
    <phoneticPr fontId="1" type="noConversion"/>
  </si>
  <si>
    <t>. 고객용 SAMPLE 화면 개발</t>
    <phoneticPr fontId="1" type="noConversion"/>
  </si>
  <si>
    <t>. 상담사용 SAMPLE 화면 개발</t>
    <phoneticPr fontId="1" type="noConversion"/>
  </si>
  <si>
    <t>. CS(고객) 채팅상담 API 개발</t>
    <phoneticPr fontId="1" type="noConversion"/>
  </si>
  <si>
    <t>. CC(상담원) 채팅상담 API 개발</t>
    <phoneticPr fontId="1" type="noConversion"/>
  </si>
  <si>
    <t>. java,gradle,Redis,STOMP,Websocket,PostgreSQL 개발 환경 구성</t>
    <phoneticPr fontId="1" type="noConversion"/>
  </si>
  <si>
    <t>1. 메시지 G/W 플로우 설계 보완</t>
    <phoneticPr fontId="1" type="noConversion"/>
  </si>
  <si>
    <t>2. 메시지 G/W API 설계 보완</t>
    <phoneticPr fontId="1" type="noConversion"/>
  </si>
  <si>
    <t>&gt; 프로그램(메시지 G/W) 개발</t>
    <phoneticPr fontId="1" type="noConversion"/>
  </si>
  <si>
    <t>2026-01-26 ~ 2026-01.30</t>
    <phoneticPr fontId="1" type="noConversion"/>
  </si>
  <si>
    <t>소분류</t>
    <phoneticPr fontId="1" type="noConversion"/>
  </si>
  <si>
    <t>투입인력</t>
    <phoneticPr fontId="1" type="noConversion"/>
  </si>
  <si>
    <t>Project
완료
일정</t>
    <phoneticPr fontId="1" type="noConversion"/>
  </si>
  <si>
    <t>허팔만</t>
    <phoneticPr fontId="1" type="noConversion"/>
  </si>
  <si>
    <t>Project
진척율
(%)</t>
    <phoneticPr fontId="1" type="noConversion"/>
  </si>
  <si>
    <t>프로그램 설계 완료(보완)</t>
    <phoneticPr fontId="1" type="noConversion"/>
  </si>
  <si>
    <t>ㅁ MDI 화면(만들지 말고 창을 여러개 띄우자)
 - 테스트시 필요</t>
    <phoneticPr fontId="1" type="noConversion"/>
  </si>
  <si>
    <t>ㅁ sts5에 Web Development 플러그인 설치
ㅁ sts5에 Folding 플러그인 설치 시도
ㅁ vm에서 멀티 Edge 실행하여 Test
ㅁ AICC-CHAT 패킷 분석 정리</t>
    <phoneticPr fontId="1" type="noConversion"/>
  </si>
  <si>
    <t>userId</t>
    <phoneticPr fontId="1" type="noConversion"/>
  </si>
  <si>
    <t>userName</t>
    <phoneticPr fontId="1" type="noConversion"/>
  </si>
  <si>
    <t>email</t>
    <phoneticPr fontId="1" type="noConversion"/>
  </si>
  <si>
    <t>token</t>
    <phoneticPr fontId="1" type="noConversion"/>
  </si>
  <si>
    <t>roomId</t>
  </si>
  <si>
    <t>roomId</t>
    <phoneticPr fontId="1" type="noConversion"/>
  </si>
  <si>
    <t>companyId</t>
  </si>
  <si>
    <t>companyId</t>
    <phoneticPr fontId="1" type="noConversion"/>
  </si>
  <si>
    <t>String</t>
  </si>
  <si>
    <t>String</t>
    <phoneticPr fontId="1" type="noConversion"/>
  </si>
  <si>
    <t>UserRole</t>
  </si>
  <si>
    <t>UserRole</t>
    <phoneticPr fontId="1" type="noConversion"/>
  </si>
  <si>
    <t>role</t>
    <phoneticPr fontId="1" type="noConversion"/>
  </si>
  <si>
    <t>UserInfo</t>
  </si>
  <si>
    <t>CUSTOMER</t>
    <phoneticPr fontId="1" type="noConversion"/>
  </si>
  <si>
    <t>일반 고객</t>
    <phoneticPr fontId="1" type="noConversion"/>
  </si>
  <si>
    <t>AGENT</t>
    <phoneticPr fontId="1" type="noConversion"/>
  </si>
  <si>
    <t>상담원</t>
    <phoneticPr fontId="1" type="noConversion"/>
  </si>
  <si>
    <t>BOT</t>
    <phoneticPr fontId="1" type="noConversion"/>
  </si>
  <si>
    <t>SYSTEM</t>
    <phoneticPr fontId="1" type="noConversion"/>
  </si>
  <si>
    <t>시스템 (알림 등)</t>
    <phoneticPr fontId="1" type="noConversion"/>
  </si>
  <si>
    <t>챗봇</t>
    <phoneticPr fontId="1" type="noConversion"/>
  </si>
  <si>
    <t>enum</t>
  </si>
  <si>
    <t>enum</t>
    <phoneticPr fontId="1" type="noConversion"/>
  </si>
  <si>
    <t>ChatMessage</t>
    <phoneticPr fontId="1" type="noConversion"/>
  </si>
  <si>
    <t>sender</t>
    <phoneticPr fontId="1" type="noConversion"/>
  </si>
  <si>
    <t>message</t>
    <phoneticPr fontId="1" type="noConversion"/>
  </si>
  <si>
    <t>MessageType</t>
  </si>
  <si>
    <t>type</t>
    <phoneticPr fontId="1" type="noConversion"/>
  </si>
  <si>
    <t>senderRole</t>
  </si>
  <si>
    <t>CUSTOMER, AGENT, BOT, SYSTEM</t>
    <phoneticPr fontId="1" type="noConversion"/>
  </si>
  <si>
    <t>ENTER,</t>
  </si>
  <si>
    <t>TALK,</t>
  </si>
  <si>
    <t>LEAVE,</t>
  </si>
  <si>
    <t>JOIN,</t>
  </si>
  <si>
    <t>HANDOFF</t>
    <phoneticPr fontId="1" type="noConversion"/>
  </si>
  <si>
    <t>, // 상담원 연결 요청 추가</t>
    <phoneticPr fontId="1" type="noConversion"/>
  </si>
  <si>
    <t>CANCEL_HANDOFF</t>
    <phoneticPr fontId="1" type="noConversion"/>
  </si>
  <si>
    <t xml:space="preserve"> // 상담원 연결 요청 취소 추가</t>
    <phoneticPr fontId="1" type="noConversion"/>
  </si>
  <si>
    <t>ChatRoom</t>
  </si>
  <si>
    <t>roomName</t>
  </si>
  <si>
    <t>members</t>
    <phoneticPr fontId="1" type="noConversion"/>
  </si>
  <si>
    <t>status</t>
    <phoneticPr fontId="1" type="noConversion"/>
  </si>
  <si>
    <t>assignedAgent</t>
    <phoneticPr fontId="1" type="noConversion"/>
  </si>
  <si>
    <t>createdAt</t>
    <phoneticPr fontId="1" type="noConversion"/>
  </si>
  <si>
    <t>lastActivityAt</t>
    <phoneticPr fontId="1" type="noConversion"/>
  </si>
  <si>
    <t>마지막 활동 시간</t>
    <phoneticPr fontId="1" type="noConversion"/>
  </si>
  <si>
    <t>방 생성 시간</t>
  </si>
  <si>
    <t>현재 상담중인 상담원명</t>
    <phoneticPr fontId="1" type="noConversion"/>
  </si>
  <si>
    <t>BOT, WAITING, AGENT, CLOSED</t>
    <phoneticPr fontId="1" type="noConversion"/>
  </si>
  <si>
    <t>long</t>
  </si>
  <si>
    <t>Set&lt;String&gt;</t>
    <phoneticPr fontId="1" type="noConversion"/>
  </si>
  <si>
    <t>aicc-chat</t>
    <phoneticPr fontId="1" type="noConversion"/>
  </si>
  <si>
    <t>eyJ1c2VySWQiOiJhZ2VudDEtMTdmOSIsInVzZXJOYW1lIjoi7IOB64u07JuQLTE3ZjkiLCJyb2xlIjoiQUdFTlQiLCJlbWFpbCI6ImFnZW50MS0xN2Y5QGFpY2MuY29tIiwidG9rZW4iOm51bGwsInJvb21JZCI6bnVsbCwiY29tcGFueUlkIjoiU1lTVEVNIn0=</t>
    <phoneticPr fontId="1" type="noConversion"/>
  </si>
  <si>
    <t>Local Storage</t>
    <phoneticPr fontId="1" type="noConversion"/>
  </si>
  <si>
    <t>Session storage</t>
    <phoneticPr fontId="1" type="noConversion"/>
  </si>
  <si>
    <t>AGENT_TOKEN</t>
    <phoneticPr fontId="1" type="noConversion"/>
  </si>
  <si>
    <t>상담원-17f9</t>
    <phoneticPr fontId="1" type="noConversion"/>
  </si>
  <si>
    <t>AGENT_NAME</t>
    <phoneticPr fontId="1" type="noConversion"/>
  </si>
  <si>
    <t>authToken</t>
    <phoneticPr fontId="1" type="noConversion"/>
  </si>
  <si>
    <t>user.userId</t>
    <phoneticPr fontId="1" type="noConversion"/>
  </si>
  <si>
    <t>user.userName</t>
    <phoneticPr fontId="1" type="noConversion"/>
  </si>
  <si>
    <t>고객 상담 채팅</t>
    <phoneticPr fontId="1" type="noConversion"/>
  </si>
  <si>
    <t>AUTH_TOKEN</t>
    <phoneticPr fontId="1" type="noConversion"/>
  </si>
  <si>
    <t>eyJ1c2VySWQiOiJob25nIiwidXNlck5hbWUiOiLqs6DqsJ0tYTVlZiIsInJvbGUiOiJDVVNUT01FUiIsImVtYWlsIjoiaG9uZ0BleGFtcGxlLmNvbSIsInRva2VuIjpudWxsLCJyb29tSWQiOm51bGwsImNvbXBhbnlJZCI6ImFwdDAwMSJ9</t>
    <phoneticPr fontId="1" type="noConversion"/>
  </si>
  <si>
    <t>고객 입력&gt; 채팅</t>
    <phoneticPr fontId="1" type="noConversion"/>
  </si>
  <si>
    <t>SEND
destination:/app/customer/chat
content-length:82
[{ "roomId":"room-6b7e1dda", "sender":"고객-a5ef",\"message":"안녕", "type":"TALK"}\u0000"]</t>
    <phoneticPr fontId="1" type="noConversion"/>
  </si>
  <si>
    <t>전체 개발 일수</t>
    <phoneticPr fontId="1" type="noConversion"/>
  </si>
  <si>
    <t>. CS(고객) 채팅상담 API 개발
- 로그인(http)
- 상담시작(http,ws)
- 로그아웃
- 메시지전송(ws)
- 상담종료
- 상담원연결
- 상담원연결취소
- 대기상담원조회</t>
    <phoneticPr fontId="1" type="noConversion"/>
  </si>
  <si>
    <t>실제
일수</t>
    <phoneticPr fontId="1" type="noConversion"/>
  </si>
  <si>
    <t>. 고객용 SAMPLE 화면 개발(테스트 UI 보완)</t>
    <phoneticPr fontId="1" type="noConversion"/>
  </si>
  <si>
    <t>. 상담사용 SAMPLE 화면 개발(테스트 UI 보완)</t>
    <phoneticPr fontId="1" type="noConversion"/>
  </si>
  <si>
    <t xml:space="preserve">. CC(상담원) 채팅상담 API 개발
- 로그인(http)
- 로그아웃
- 고객방연결
- 고객방퇴장(상담종료)
- 메시지전송(ws)
- 고객방목록
</t>
    <phoneticPr fontId="1" type="noConversion"/>
  </si>
  <si>
    <t>. CC(상담원) 채팅상담 API 개발
. 상담사/고객 UI 연동 지원 및 테스트</t>
    <phoneticPr fontId="1" type="noConversion"/>
  </si>
  <si>
    <t>고객 로그인</t>
  </si>
  <si>
    <t>고객 로그아웃</t>
  </si>
  <si>
    <t>고객 상담시작(이전 채팅 연결)</t>
  </si>
  <si>
    <t>고객 상담 종료</t>
  </si>
  <si>
    <t>고객 최종 상담 정보</t>
  </si>
  <si>
    <t>상담사 로그인</t>
  </si>
  <si>
    <t>상담사 정보 확인</t>
  </si>
  <si>
    <t>상담사 로그아웃</t>
  </si>
  <si>
    <t>전체 상담방 조회</t>
  </si>
  <si>
    <t>특정 상담방 상세 조회</t>
  </si>
  <si>
    <t>특정 상담방 삭제</t>
  </si>
  <si>
    <t>상담사 개입</t>
  </si>
  <si>
    <t>상담사 연결 가능 상태 조회</t>
  </si>
  <si>
    <t>상담사 상태 조회</t>
  </si>
  <si>
    <t>상담사 하드비트 전송</t>
  </si>
  <si>
    <t>상담방정리 스케줄러 시작</t>
  </si>
  <si>
    <t>상담방정리 스케줄러 중지</t>
  </si>
  <si>
    <t>상담방정리 스케쥴러 상태 조회</t>
  </si>
  <si>
    <t>고객의 상담사 연결 요청</t>
  </si>
  <si>
    <t>고객의 상담사 연결 요청 취소</t>
  </si>
  <si>
    <t>상담사 메시지 전송</t>
  </si>
  <si>
    <t>고객 메시지 전송</t>
  </si>
  <si>
    <t>웹소켓 연결 준비</t>
  </si>
  <si>
    <t>웹소켓 연결</t>
  </si>
  <si>
    <t>. CS(고객) 채팅상담 API 개발
1.고객 로그인
2.고객 로그아웃
3.고객 상담시작(이전 채팅 연결)
4.고객 상담 종료
5.고객 최종 상담 정보</t>
    <phoneticPr fontId="1" type="noConversion"/>
  </si>
  <si>
    <t>. 상담사/고객 메시징 API 개발
1.고객의 상담사 연결 요청
2.고객의 상담사 연결 요청 취소
3.상담사 메시지 전송
4.고객 메시지 전송
5.웹소켓 연결 준비
6.웹소켓 연결</t>
    <phoneticPr fontId="1" type="noConversion"/>
  </si>
  <si>
    <t>. 채팅상담 메시징 API 개발
. 상담사/고객 UI 연동 지원 및 테스트</t>
    <phoneticPr fontId="1" type="noConversion"/>
  </si>
  <si>
    <t>. CC(상담원) 채팅상담 API 개발
1.상담사 로그인
2.상담사 정보 확인
3.상담사 로그아웃
4.전체 상담방 조회
5.특정 상담방 상세 조회
6.특정 상담방 삭제
7.상담사 개입
8.상담사 연결 가능 상태 조회
9.상담사 상태 조회
10.상담사 상태 변경
11.상담사 하드비트 전송</t>
    <phoneticPr fontId="1" type="noConversion"/>
  </si>
  <si>
    <t>. CS(고객) 채팅상담 API 개발
. 상담사/고객 UI 연동 지원 및 테스트</t>
    <phoneticPr fontId="1" type="noConversion"/>
  </si>
  <si>
    <t>2026-02-02 ~ 2026-02-06</t>
    <phoneticPr fontId="1" type="noConversion"/>
  </si>
  <si>
    <t>2026-02-09 ~ 2026-02-13</t>
    <phoneticPr fontId="1" type="noConversion"/>
  </si>
  <si>
    <t>2026-02-02- ~ 2026-02-06</t>
    <phoneticPr fontId="1" type="noConversion"/>
  </si>
  <si>
    <t>2026-01-26 ~ 2026-01-30</t>
    <phoneticPr fontId="1" type="noConversion"/>
  </si>
  <si>
    <t>2026-01-19 ~ 2026-01-23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</si>
</sst>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
    <numFmt numFmtId="177" formatCode="yyyy\ &quot;년&quot;\ m\ &quot;월&quot;"/>
    <numFmt numFmtId="178" formatCode="0_);[Red]\(0\)"/>
  </numFmts>
  <fonts count="17" x14ac:knownFonts="1">
    <font>
      <sz val="11"/>
      <color theme="1"/>
      <name val="맑은 고딕"/>
      <family val="2"/>
      <charset val="129"/>
      <scheme val="minor"/>
    </font>
    <font>
      <sz val="8"/>
      <name val="맑은 고딕"/>
      <family val="2"/>
      <charset val="129"/>
      <scheme val="minor"/>
    </font>
    <font>
      <b/>
      <sz val="16"/>
      <color theme="1"/>
      <name val="맑은 고딕"/>
      <family val="3"/>
      <charset val="129"/>
      <scheme val="minor"/>
    </font>
    <font>
      <b/>
      <sz val="16"/>
      <color rgb="FFFF0000"/>
      <name val="맑은 고딕"/>
      <family val="3"/>
      <charset val="129"/>
      <scheme val="minor"/>
    </font>
    <font>
      <b/>
      <sz val="16"/>
      <color rgb="FF0070C0"/>
      <name val="맑은 고딕"/>
      <family val="3"/>
      <charset val="129"/>
      <scheme val="minor"/>
    </font>
    <font>
      <b/>
      <sz val="16"/>
      <color theme="0" tint="-0.14999847407452621"/>
      <name val="맑은 고딕"/>
      <family val="3"/>
      <charset val="129"/>
      <scheme val="minor"/>
    </font>
    <font>
      <sz val="10"/>
      <color theme="1"/>
      <name val="맑은 고딕"/>
      <family val="2"/>
      <charset val="129"/>
      <scheme val="minor"/>
    </font>
    <font>
      <sz val="10"/>
      <color theme="1"/>
      <name val="맑은 고딕"/>
      <family val="3"/>
      <charset val="129"/>
      <scheme val="minor"/>
    </font>
    <font>
      <b/>
      <sz val="18"/>
      <color theme="1"/>
      <name val="맑은 고딕"/>
      <family val="3"/>
      <charset val="129"/>
      <scheme val="minor"/>
    </font>
    <font>
      <sz val="9"/>
      <color theme="1"/>
      <name val="맑은 고딕"/>
      <family val="2"/>
      <charset val="129"/>
      <scheme val="minor"/>
    </font>
    <font>
      <sz val="9"/>
      <color theme="1"/>
      <name val="맑은 고딕"/>
      <family val="3"/>
      <charset val="129"/>
      <scheme val="minor"/>
    </font>
    <font>
      <b/>
      <sz val="16"/>
      <color theme="2" tint="-9.9978637043366805E-2"/>
      <name val="맑은 고딕"/>
      <family val="3"/>
      <charset val="129"/>
      <scheme val="minor"/>
    </font>
    <font>
      <sz val="10"/>
      <color theme="1"/>
      <name val="Arial"/>
      <family val="2"/>
    </font>
    <font>
      <sz val="10"/>
      <color theme="1"/>
      <name val="맑은 고딕"/>
      <family val="2"/>
      <charset val="129"/>
    </font>
    <font>
      <sz val="11"/>
      <color theme="1"/>
      <name val="D2Coding"/>
      <family val="3"/>
      <charset val="129"/>
    </font>
    <font>
      <b/>
      <sz val="9"/>
      <color indexed="81"/>
      <name val="돋움"/>
      <family val="3"/>
      <charset val="129"/>
    </font>
    <font>
      <sz val="7"/>
      <color rgb="FF000000"/>
      <name val="D2Coding"/>
      <family val="3"/>
      <charset val="129"/>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indexed="64"/>
      </patternFill>
    </fill>
    <fill>
      <patternFill patternType="solid">
        <fgColor rgb="FFFBE5D6"/>
        <bgColor indexed="64"/>
      </patternFill>
    </fill>
  </fills>
  <borders count="14">
    <border>
      <left/>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style="dotted">
        <color theme="0" tint="-0.24994659260841701"/>
      </bottom>
      <diagonal/>
    </border>
    <border>
      <left style="thin">
        <color theme="0" tint="-0.24994659260841701"/>
      </left>
      <right/>
      <top style="thin">
        <color theme="0" tint="-0.24994659260841701"/>
      </top>
      <bottom style="dotted">
        <color theme="0" tint="-0.24994659260841701"/>
      </bottom>
      <diagonal/>
    </border>
    <border>
      <left style="thin">
        <color theme="0" tint="-0.24994659260841701"/>
      </left>
      <right/>
      <top style="dotted">
        <color theme="0" tint="-0.24994659260841701"/>
      </top>
      <bottom/>
      <diagonal/>
    </border>
    <border>
      <left style="thin">
        <color theme="0" tint="-0.24994659260841701"/>
      </left>
      <right style="thin">
        <color theme="0" tint="-0.24994659260841701"/>
      </right>
      <top style="dotted">
        <color theme="0" tint="-0.24994659260841701"/>
      </top>
      <bottom style="thin">
        <color theme="0" tint="-0.24994659260841701"/>
      </bottom>
      <diagonal/>
    </border>
    <border>
      <left style="thin">
        <color theme="0" tint="-0.24994659260841701"/>
      </left>
      <right style="thin">
        <color theme="0" tint="-0.24994659260841701"/>
      </right>
      <top style="dotted">
        <color theme="0" tint="-0.24994659260841701"/>
      </top>
      <bottom/>
      <diagonal/>
    </border>
    <border>
      <left style="thin">
        <color theme="0" tint="-0.24994659260841701"/>
      </left>
      <right/>
      <top style="dotted">
        <color theme="0" tint="-0.24994659260841701"/>
      </top>
      <bottom style="thin">
        <color theme="0" tint="-0.2499465926084170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1">
    <xf numFmtId="0" fontId="0" fillId="0" borderId="0">
      <alignment vertical="center"/>
    </xf>
  </cellStyleXfs>
  <cellXfs count="47">
    <xf numFmtId="0" fontId="0" fillId="0" borderId="0" xfId="0">
      <alignment vertical="center"/>
    </xf>
    <xf numFmtId="0" fontId="0" fillId="2" borderId="0" xfId="0" applyFill="1">
      <alignment vertical="center"/>
    </xf>
    <xf numFmtId="176" fontId="2" fillId="2" borderId="6" xfId="0" applyNumberFormat="1" applyFont="1" applyFill="1" applyBorder="1" applyAlignment="1">
      <alignment horizontal="left" vertical="center" indent="1"/>
    </xf>
    <xf numFmtId="176" fontId="5" fillId="2" borderId="6" xfId="0" applyNumberFormat="1" applyFont="1" applyFill="1" applyBorder="1" applyAlignment="1">
      <alignment horizontal="left" vertical="center" indent="1"/>
    </xf>
    <xf numFmtId="176" fontId="3" fillId="2" borderId="6" xfId="0" applyNumberFormat="1" applyFont="1" applyFill="1" applyBorder="1" applyAlignment="1">
      <alignment horizontal="left" vertical="center" indent="1"/>
    </xf>
    <xf numFmtId="0" fontId="2" fillId="2" borderId="3" xfId="0" applyFont="1" applyFill="1" applyBorder="1">
      <alignment vertical="center"/>
    </xf>
    <xf numFmtId="0" fontId="3" fillId="2" borderId="4" xfId="0" applyFont="1" applyFill="1" applyBorder="1">
      <alignment vertical="center"/>
    </xf>
    <xf numFmtId="0" fontId="4" fillId="2" borderId="1" xfId="0" applyFont="1" applyFill="1" applyBorder="1">
      <alignment vertical="center"/>
    </xf>
    <xf numFmtId="176" fontId="4" fillId="2" borderId="5" xfId="0" applyNumberFormat="1" applyFont="1" applyFill="1" applyBorder="1" applyAlignment="1">
      <alignment horizontal="left" vertical="center" indent="1"/>
    </xf>
    <xf numFmtId="0" fontId="6" fillId="2" borderId="7" xfId="0" applyFont="1" applyFill="1" applyBorder="1" applyAlignment="1">
      <alignment horizontal="left" vertical="top"/>
    </xf>
    <xf numFmtId="0" fontId="6" fillId="2" borderId="9" xfId="0" applyFont="1" applyFill="1" applyBorder="1" applyAlignment="1">
      <alignment horizontal="left" vertical="top"/>
    </xf>
    <xf numFmtId="0" fontId="6" fillId="2" borderId="7" xfId="0" applyFont="1" applyFill="1" applyBorder="1" applyAlignment="1">
      <alignment horizontal="left" vertical="top" wrapText="1"/>
    </xf>
    <xf numFmtId="0" fontId="7" fillId="2" borderId="7" xfId="0" applyFont="1" applyFill="1" applyBorder="1" applyAlignment="1">
      <alignment horizontal="left" vertical="top" wrapText="1" shrinkToFit="1"/>
    </xf>
    <xf numFmtId="0" fontId="7" fillId="2" borderId="10" xfId="0" applyFont="1" applyFill="1" applyBorder="1" applyAlignment="1">
      <alignment horizontal="left" vertical="top"/>
    </xf>
    <xf numFmtId="0" fontId="7" fillId="2" borderId="8" xfId="0" applyFont="1" applyFill="1" applyBorder="1" applyAlignment="1">
      <alignment horizontal="left" vertical="top"/>
    </xf>
    <xf numFmtId="177" fontId="8" fillId="2" borderId="0" xfId="0" applyNumberFormat="1" applyFont="1" applyFill="1" applyAlignment="1">
      <alignment horizontal="center" vertical="center"/>
    </xf>
    <xf numFmtId="0" fontId="9" fillId="2" borderId="7" xfId="0" applyFont="1" applyFill="1" applyBorder="1" applyAlignment="1">
      <alignment horizontal="left" vertical="top" wrapText="1"/>
    </xf>
    <xf numFmtId="0" fontId="10" fillId="2" borderId="7" xfId="0" quotePrefix="1" applyFont="1" applyFill="1" applyBorder="1" applyAlignment="1">
      <alignment horizontal="left" vertical="top" wrapText="1"/>
    </xf>
    <xf numFmtId="0" fontId="9" fillId="2" borderId="7" xfId="0" applyFont="1" applyFill="1" applyBorder="1" applyAlignment="1">
      <alignment horizontal="left" vertical="top"/>
    </xf>
    <xf numFmtId="176" fontId="11" fillId="2" borderId="6" xfId="0" applyNumberFormat="1" applyFont="1" applyFill="1" applyBorder="1" applyAlignment="1">
      <alignment horizontal="left" vertical="center" indent="1"/>
    </xf>
    <xf numFmtId="176" fontId="11" fillId="2" borderId="5" xfId="0" applyNumberFormat="1" applyFont="1" applyFill="1" applyBorder="1" applyAlignment="1">
      <alignment horizontal="left" vertical="center" indent="1"/>
    </xf>
    <xf numFmtId="0" fontId="10" fillId="0" borderId="0" xfId="0" applyFont="1" applyAlignment="1">
      <alignment horizontal="center" vertical="center"/>
    </xf>
    <xf numFmtId="176" fontId="10" fillId="0" borderId="0" xfId="0" applyNumberFormat="1" applyFont="1" applyAlignment="1">
      <alignment horizontal="center" vertical="center"/>
    </xf>
    <xf numFmtId="178" fontId="10" fillId="2" borderId="2" xfId="0" applyNumberFormat="1" applyFont="1" applyFill="1" applyBorder="1" applyAlignment="1">
      <alignment horizontal="center" vertical="center"/>
    </xf>
    <xf numFmtId="178" fontId="10" fillId="0" borderId="0" xfId="0" applyNumberFormat="1" applyFont="1" applyAlignment="1">
      <alignment horizontal="center" vertical="center"/>
    </xf>
    <xf numFmtId="0" fontId="12" fillId="0" borderId="11" xfId="0" applyFont="1" applyBorder="1" applyAlignment="1">
      <alignment wrapText="1"/>
    </xf>
    <xf numFmtId="0" fontId="12" fillId="0" borderId="11" xfId="0" applyFont="1" applyBorder="1">
      <alignment vertical="center"/>
    </xf>
    <xf numFmtId="0" fontId="12" fillId="0" borderId="0" xfId="0" applyFont="1" applyAlignment="1">
      <alignment wrapText="1"/>
    </xf>
    <xf numFmtId="0" fontId="0" fillId="0" borderId="12" xfId="0" applyBorder="1">
      <alignment vertical="center"/>
    </xf>
    <xf numFmtId="9" fontId="0" fillId="0" borderId="12" xfId="0" applyNumberFormat="1" applyBorder="1">
      <alignment vertical="center"/>
    </xf>
    <xf numFmtId="14" fontId="0" fillId="0" borderId="12" xfId="0" applyNumberFormat="1" applyBorder="1" applyAlignment="1">
      <alignment horizontal="center" vertical="center"/>
    </xf>
    <xf numFmtId="0" fontId="0" fillId="0" borderId="12" xfId="0" applyBorder="1" applyAlignment="1">
      <alignment horizontal="left" vertical="center" indent="1"/>
    </xf>
    <xf numFmtId="0" fontId="0" fillId="0" borderId="12" xfId="0" applyBorder="1" applyAlignment="1">
      <alignment horizontal="left" vertical="center" indent="2"/>
    </xf>
    <xf numFmtId="0" fontId="0" fillId="3" borderId="12" xfId="0" applyFill="1" applyBorder="1">
      <alignment vertical="center"/>
    </xf>
    <xf numFmtId="14" fontId="0" fillId="3" borderId="12" xfId="0" applyNumberFormat="1" applyFill="1" applyBorder="1" applyAlignment="1">
      <alignment horizontal="left" vertical="center"/>
    </xf>
    <xf numFmtId="0" fontId="14" fillId="0" borderId="0" xfId="0" applyFont="1" applyAlignment="1">
      <alignment vertical="center" wrapText="1"/>
    </xf>
    <xf numFmtId="9" fontId="0" fillId="0" borderId="0" xfId="0" applyNumberFormat="1">
      <alignment vertical="center"/>
    </xf>
    <xf numFmtId="0" fontId="0" fillId="0" borderId="12" xfId="0" applyBorder="1" applyAlignment="1">
      <alignment horizontal="left" vertical="center" wrapText="1" indent="1"/>
    </xf>
    <xf numFmtId="0" fontId="0" fillId="3" borderId="12" xfId="0" applyFill="1" applyBorder="1" applyAlignment="1">
      <alignment horizontal="center" vertical="center"/>
    </xf>
    <xf numFmtId="0" fontId="0" fillId="0" borderId="12" xfId="0" applyBorder="1" applyAlignment="1">
      <alignment horizontal="center" vertical="center"/>
    </xf>
    <xf numFmtId="0" fontId="0" fillId="2" borderId="0" xfId="0" applyFill="1" applyAlignment="1">
      <alignment horizontal="center" vertical="center"/>
    </xf>
    <xf numFmtId="9" fontId="0" fillId="0" borderId="12" xfId="0" applyNumberFormat="1" applyBorder="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wrapText="1"/>
    </xf>
    <xf numFmtId="0" fontId="0" fillId="3" borderId="12" xfId="0" applyFill="1" applyBorder="1" applyAlignment="1">
      <alignment horizontal="center" vertical="center" wrapText="1"/>
    </xf>
    <xf numFmtId="0" fontId="16" fillId="4" borderId="13" xfId="0" applyFont="1" applyFill="1" applyBorder="1" applyAlignment="1">
      <alignment horizontal="left" vertical="center" wrapText="1" readingOrder="1"/>
    </xf>
    <xf numFmtId="0" fontId="16" fillId="5" borderId="13" xfId="0" applyFont="1" applyFill="1" applyBorder="1" applyAlignment="1">
      <alignment horizontal="left" vertical="center" wrapText="1" readingOrder="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F103-AD59-4611-A9C5-1553168A5DA6}">
  <dimension ref="A1:K25"/>
  <sheetViews>
    <sheetView topLeftCell="A7" zoomScale="85" zoomScaleNormal="85" workbookViewId="0">
      <selection activeCell="J16" sqref="J16"/>
    </sheetView>
  </sheetViews>
  <sheetFormatPr defaultRowHeight="16.5" x14ac:dyDescent="0.3"/>
  <cols>
    <col min="2" max="2" width="24.625" customWidth="1"/>
    <col min="3" max="7" width="32.625" customWidth="1"/>
    <col min="8" max="8" width="24.625" customWidth="1"/>
    <col min="9" max="9" width="5.375" style="21" customWidth="1"/>
    <col min="10" max="10" width="7.875" bestFit="1" customWidth="1"/>
  </cols>
  <sheetData>
    <row r="1" spans="1:11" ht="26.25" x14ac:dyDescent="0.3">
      <c r="A1" s="1"/>
      <c r="B1" s="1"/>
      <c r="C1" s="1"/>
      <c r="D1" s="1"/>
      <c r="E1" s="15">
        <v>46023</v>
      </c>
      <c r="F1" s="1"/>
      <c r="G1" s="1"/>
      <c r="H1" s="1"/>
    </row>
    <row r="2" spans="1:11" ht="26.25" x14ac:dyDescent="0.3">
      <c r="A2" s="1"/>
      <c r="B2" s="6" t="s">
        <v>0</v>
      </c>
      <c r="C2" s="5" t="s">
        <v>1</v>
      </c>
      <c r="D2" s="5" t="s">
        <v>2</v>
      </c>
      <c r="E2" s="5" t="s">
        <v>3</v>
      </c>
      <c r="F2" s="5" t="s">
        <v>4</v>
      </c>
      <c r="G2" s="5" t="s">
        <v>5</v>
      </c>
      <c r="H2" s="7" t="s">
        <v>6</v>
      </c>
      <c r="K2" t="s">
        <v>164</v>
      </c>
    </row>
    <row r="3" spans="1:11" ht="26.25" x14ac:dyDescent="0.3">
      <c r="A3" s="1"/>
      <c r="B3" s="3">
        <v>46019</v>
      </c>
      <c r="C3" s="3">
        <f t="shared" ref="C3:H3" si="0">B3+1</f>
        <v>46020</v>
      </c>
      <c r="D3" s="3">
        <f t="shared" si="0"/>
        <v>46021</v>
      </c>
      <c r="E3" s="3">
        <f t="shared" si="0"/>
        <v>46022</v>
      </c>
      <c r="F3" s="4">
        <f t="shared" si="0"/>
        <v>46023</v>
      </c>
      <c r="G3" s="2">
        <f t="shared" si="0"/>
        <v>46024</v>
      </c>
      <c r="H3" s="8">
        <f t="shared" si="0"/>
        <v>46025</v>
      </c>
      <c r="I3" s="43" t="s">
        <v>166</v>
      </c>
    </row>
    <row r="4" spans="1:11" ht="72" customHeight="1" x14ac:dyDescent="0.3">
      <c r="A4" s="1"/>
      <c r="B4" s="9"/>
      <c r="C4" s="9"/>
      <c r="D4" s="9"/>
      <c r="E4" s="9"/>
      <c r="F4" s="9"/>
      <c r="G4" s="9"/>
      <c r="H4" s="10"/>
    </row>
    <row r="5" spans="1:11" ht="26.25" x14ac:dyDescent="0.3">
      <c r="A5" s="1"/>
      <c r="B5" s="4">
        <f>H3+1</f>
        <v>46026</v>
      </c>
      <c r="C5" s="2">
        <f t="shared" ref="C5:H5" si="1">B5+1</f>
        <v>46027</v>
      </c>
      <c r="D5" s="2">
        <f t="shared" si="1"/>
        <v>46028</v>
      </c>
      <c r="E5" s="2">
        <f t="shared" si="1"/>
        <v>46029</v>
      </c>
      <c r="F5" s="2">
        <f t="shared" si="1"/>
        <v>46030</v>
      </c>
      <c r="G5" s="2">
        <f t="shared" si="1"/>
        <v>46031</v>
      </c>
      <c r="H5" s="8">
        <f t="shared" si="1"/>
        <v>46032</v>
      </c>
    </row>
    <row r="6" spans="1:11" ht="72" customHeight="1" x14ac:dyDescent="0.3">
      <c r="A6" s="1"/>
      <c r="B6" s="9"/>
      <c r="C6" s="9"/>
      <c r="D6" s="9"/>
      <c r="E6" s="9"/>
      <c r="F6" s="9"/>
      <c r="G6" s="9"/>
      <c r="H6" s="10"/>
    </row>
    <row r="7" spans="1:11" ht="26.25" x14ac:dyDescent="0.3">
      <c r="A7" s="1"/>
      <c r="B7" s="4">
        <f>H5+1</f>
        <v>46033</v>
      </c>
      <c r="C7" s="2">
        <f t="shared" ref="C7:H7" si="2">B7+1</f>
        <v>46034</v>
      </c>
      <c r="D7" s="2">
        <f t="shared" si="2"/>
        <v>46035</v>
      </c>
      <c r="E7" s="2">
        <f t="shared" si="2"/>
        <v>46036</v>
      </c>
      <c r="F7" s="2">
        <f t="shared" si="2"/>
        <v>46037</v>
      </c>
      <c r="G7" s="2">
        <f t="shared" si="2"/>
        <v>46038</v>
      </c>
      <c r="H7" s="8">
        <f t="shared" si="2"/>
        <v>46039</v>
      </c>
      <c r="I7" s="23">
        <v>5</v>
      </c>
      <c r="J7" s="36">
        <f>I7/$I$25</f>
        <v>0.15625</v>
      </c>
    </row>
    <row r="8" spans="1:11" ht="72" customHeight="1" x14ac:dyDescent="0.3">
      <c r="A8" s="1"/>
      <c r="B8" s="9"/>
      <c r="C8" s="11" t="s">
        <v>7</v>
      </c>
      <c r="D8" s="9" t="s">
        <v>8</v>
      </c>
      <c r="E8" s="12" t="s">
        <v>9</v>
      </c>
      <c r="F8" s="11" t="s">
        <v>12</v>
      </c>
      <c r="G8" s="17" t="s">
        <v>11</v>
      </c>
      <c r="H8" s="10"/>
      <c r="I8" s="24">
        <v>0</v>
      </c>
    </row>
    <row r="9" spans="1:11" ht="26.25" x14ac:dyDescent="0.3">
      <c r="A9" s="1"/>
      <c r="B9" s="4">
        <f>H7+1</f>
        <v>46040</v>
      </c>
      <c r="C9" s="2">
        <f t="shared" ref="C9:H9" si="3">B9+1</f>
        <v>46041</v>
      </c>
      <c r="D9" s="2">
        <f t="shared" si="3"/>
        <v>46042</v>
      </c>
      <c r="E9" s="2">
        <f t="shared" si="3"/>
        <v>46043</v>
      </c>
      <c r="F9" s="2">
        <f t="shared" si="3"/>
        <v>46044</v>
      </c>
      <c r="G9" s="2">
        <f t="shared" si="3"/>
        <v>46045</v>
      </c>
      <c r="H9" s="8">
        <f t="shared" si="3"/>
        <v>46046</v>
      </c>
      <c r="I9" s="23">
        <v>5</v>
      </c>
      <c r="J9" s="36">
        <f>SUM($I$7:I9)/$I$25</f>
        <v>0.3125</v>
      </c>
    </row>
    <row r="10" spans="1:11" ht="72" customHeight="1" x14ac:dyDescent="0.3">
      <c r="A10" s="1"/>
      <c r="B10" s="9"/>
      <c r="C10" s="16" t="s">
        <v>10</v>
      </c>
      <c r="D10" s="16" t="s">
        <v>13</v>
      </c>
      <c r="E10" s="9"/>
      <c r="F10" s="16" t="s">
        <v>95</v>
      </c>
      <c r="G10" s="16" t="s">
        <v>96</v>
      </c>
      <c r="H10" s="10"/>
      <c r="I10" s="24">
        <v>0</v>
      </c>
    </row>
    <row r="11" spans="1:11" ht="26.25" x14ac:dyDescent="0.3">
      <c r="A11" s="1"/>
      <c r="B11" s="4">
        <f>H9+1</f>
        <v>46047</v>
      </c>
      <c r="C11" s="2">
        <f t="shared" ref="C11:H11" si="4">B11+1</f>
        <v>46048</v>
      </c>
      <c r="D11" s="2">
        <f t="shared" si="4"/>
        <v>46049</v>
      </c>
      <c r="E11" s="2">
        <f t="shared" si="4"/>
        <v>46050</v>
      </c>
      <c r="F11" s="2">
        <f t="shared" si="4"/>
        <v>46051</v>
      </c>
      <c r="G11" s="2">
        <f t="shared" si="4"/>
        <v>46052</v>
      </c>
      <c r="H11" s="8">
        <f t="shared" si="4"/>
        <v>46053</v>
      </c>
      <c r="I11" s="23">
        <v>5</v>
      </c>
      <c r="J11" s="36">
        <f>SUM($I$7:I11)/$I$25</f>
        <v>0.46875</v>
      </c>
    </row>
    <row r="12" spans="1:11" ht="72" customHeight="1" x14ac:dyDescent="0.3">
      <c r="A12" s="1"/>
      <c r="B12" s="13"/>
      <c r="C12" s="13"/>
      <c r="D12" s="13"/>
      <c r="E12" s="13"/>
      <c r="F12" s="13"/>
      <c r="G12" s="13"/>
      <c r="H12" s="14"/>
      <c r="I12" s="24">
        <v>0</v>
      </c>
    </row>
    <row r="13" spans="1:11" x14ac:dyDescent="0.3">
      <c r="I13" s="24">
        <v>0</v>
      </c>
    </row>
    <row r="14" spans="1:11" ht="26.25" x14ac:dyDescent="0.3">
      <c r="B14" s="1"/>
      <c r="C14" s="1"/>
      <c r="D14" s="1"/>
      <c r="E14" s="15">
        <v>46054</v>
      </c>
      <c r="F14" s="1"/>
      <c r="G14" s="1"/>
      <c r="H14" s="1"/>
      <c r="I14" s="24">
        <v>0</v>
      </c>
    </row>
    <row r="15" spans="1:11" ht="26.25" x14ac:dyDescent="0.3">
      <c r="B15" s="6" t="s">
        <v>0</v>
      </c>
      <c r="C15" s="5" t="s">
        <v>1</v>
      </c>
      <c r="D15" s="5" t="s">
        <v>2</v>
      </c>
      <c r="E15" s="5" t="s">
        <v>3</v>
      </c>
      <c r="F15" s="5" t="s">
        <v>4</v>
      </c>
      <c r="G15" s="5" t="s">
        <v>5</v>
      </c>
      <c r="H15" s="7" t="s">
        <v>6</v>
      </c>
      <c r="I15" s="24">
        <v>0</v>
      </c>
    </row>
    <row r="16" spans="1:11" ht="26.25" x14ac:dyDescent="0.3">
      <c r="B16" s="4">
        <f>H11+1</f>
        <v>46054</v>
      </c>
      <c r="C16" s="2">
        <f t="shared" ref="C16:H16" si="5">B16+1</f>
        <v>46055</v>
      </c>
      <c r="D16" s="2">
        <f t="shared" si="5"/>
        <v>46056</v>
      </c>
      <c r="E16" s="2">
        <f t="shared" si="5"/>
        <v>46057</v>
      </c>
      <c r="F16" s="2">
        <f t="shared" si="5"/>
        <v>46058</v>
      </c>
      <c r="G16" s="2">
        <f t="shared" si="5"/>
        <v>46059</v>
      </c>
      <c r="H16" s="8">
        <f t="shared" si="5"/>
        <v>46060</v>
      </c>
      <c r="I16" s="23">
        <v>5</v>
      </c>
      <c r="J16" s="36">
        <f>SUM($I$7:I16)/$I$25</f>
        <v>0.625</v>
      </c>
    </row>
    <row r="17" spans="2:10" x14ac:dyDescent="0.3">
      <c r="B17" s="9"/>
      <c r="C17" s="9"/>
      <c r="D17" s="9"/>
      <c r="E17" s="9"/>
      <c r="F17" s="9"/>
      <c r="G17" s="9"/>
      <c r="H17" s="10"/>
      <c r="I17" s="24">
        <v>0</v>
      </c>
    </row>
    <row r="18" spans="2:10" ht="26.25" x14ac:dyDescent="0.3">
      <c r="B18" s="4">
        <f>H16+1</f>
        <v>46061</v>
      </c>
      <c r="C18" s="2">
        <f t="shared" ref="C18:H18" si="6">B18+1</f>
        <v>46062</v>
      </c>
      <c r="D18" s="2">
        <f t="shared" si="6"/>
        <v>46063</v>
      </c>
      <c r="E18" s="2">
        <f t="shared" si="6"/>
        <v>46064</v>
      </c>
      <c r="F18" s="2">
        <f t="shared" si="6"/>
        <v>46065</v>
      </c>
      <c r="G18" s="2">
        <f t="shared" si="6"/>
        <v>46066</v>
      </c>
      <c r="H18" s="8">
        <f t="shared" si="6"/>
        <v>46067</v>
      </c>
      <c r="I18" s="23">
        <v>5</v>
      </c>
      <c r="J18" s="36">
        <f>SUM($I$7:I18)/$I$25</f>
        <v>0.78125</v>
      </c>
    </row>
    <row r="19" spans="2:10" x14ac:dyDescent="0.3">
      <c r="B19" s="9"/>
      <c r="C19" s="9"/>
      <c r="D19" s="9"/>
      <c r="E19" s="9"/>
      <c r="F19" s="9"/>
      <c r="G19" s="9"/>
      <c r="H19" s="10"/>
      <c r="I19" s="24">
        <v>0</v>
      </c>
    </row>
    <row r="20" spans="2:10" ht="26.25" x14ac:dyDescent="0.3">
      <c r="B20" s="4">
        <f>H18+1</f>
        <v>46068</v>
      </c>
      <c r="C20" s="4">
        <f t="shared" ref="C20:H20" si="7">B20+1</f>
        <v>46069</v>
      </c>
      <c r="D20" s="4">
        <f t="shared" si="7"/>
        <v>46070</v>
      </c>
      <c r="E20" s="4">
        <f t="shared" si="7"/>
        <v>46071</v>
      </c>
      <c r="F20" s="2">
        <f t="shared" si="7"/>
        <v>46072</v>
      </c>
      <c r="G20" s="2">
        <f t="shared" si="7"/>
        <v>46073</v>
      </c>
      <c r="H20" s="8">
        <f t="shared" si="7"/>
        <v>46074</v>
      </c>
      <c r="I20" s="23">
        <v>2</v>
      </c>
      <c r="J20" s="36">
        <f>SUM($I$7:I20)/$I$25</f>
        <v>0.84375</v>
      </c>
    </row>
    <row r="21" spans="2:10" x14ac:dyDescent="0.3">
      <c r="B21" s="9"/>
      <c r="C21" s="11"/>
      <c r="D21" s="9"/>
      <c r="E21" s="12"/>
      <c r="F21" s="11"/>
      <c r="G21" s="17"/>
      <c r="H21" s="10"/>
      <c r="I21" s="24">
        <v>0</v>
      </c>
    </row>
    <row r="22" spans="2:10" ht="26.25" x14ac:dyDescent="0.3">
      <c r="B22" s="4">
        <f>H20+1</f>
        <v>46075</v>
      </c>
      <c r="C22" s="2">
        <f t="shared" ref="C22:H22" si="8">B22+1</f>
        <v>46076</v>
      </c>
      <c r="D22" s="2">
        <f t="shared" si="8"/>
        <v>46077</v>
      </c>
      <c r="E22" s="2">
        <f t="shared" si="8"/>
        <v>46078</v>
      </c>
      <c r="F22" s="2">
        <f t="shared" si="8"/>
        <v>46079</v>
      </c>
      <c r="G22" s="2">
        <f t="shared" si="8"/>
        <v>46080</v>
      </c>
      <c r="H22" s="8">
        <f t="shared" si="8"/>
        <v>46081</v>
      </c>
      <c r="I22" s="23">
        <v>5</v>
      </c>
      <c r="J22" s="36">
        <f>SUM($I$7:I22)/$I$25</f>
        <v>1</v>
      </c>
    </row>
    <row r="23" spans="2:10" x14ac:dyDescent="0.3">
      <c r="B23" s="9"/>
      <c r="C23" s="16"/>
      <c r="D23" s="16"/>
      <c r="E23" s="9"/>
      <c r="F23" s="18"/>
      <c r="G23" s="9"/>
      <c r="H23" s="10"/>
      <c r="I23" s="24">
        <v>0</v>
      </c>
    </row>
    <row r="24" spans="2:10" ht="26.25" x14ac:dyDescent="0.3">
      <c r="B24" s="19">
        <f>H22+1</f>
        <v>46082</v>
      </c>
      <c r="C24" s="19">
        <f t="shared" ref="C24:H24" si="9">B24+1</f>
        <v>46083</v>
      </c>
      <c r="D24" s="19">
        <f t="shared" si="9"/>
        <v>46084</v>
      </c>
      <c r="E24" s="19">
        <f t="shared" si="9"/>
        <v>46085</v>
      </c>
      <c r="F24" s="19">
        <f t="shared" si="9"/>
        <v>46086</v>
      </c>
      <c r="G24" s="19">
        <f t="shared" si="9"/>
        <v>46087</v>
      </c>
      <c r="H24" s="20">
        <f t="shared" si="9"/>
        <v>46088</v>
      </c>
      <c r="I24" s="22"/>
    </row>
    <row r="25" spans="2:10" x14ac:dyDescent="0.3">
      <c r="B25" s="13"/>
      <c r="C25" s="13"/>
      <c r="D25" s="13"/>
      <c r="E25" s="13"/>
      <c r="F25" s="13"/>
      <c r="G25" s="13"/>
      <c r="H25" s="14"/>
      <c r="I25" s="24">
        <f>SUM(I7:I23)</f>
        <v>32</v>
      </c>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5099-A341-4E35-99F5-0CBBC8C2904E}">
  <dimension ref="A1:F36"/>
  <sheetViews>
    <sheetView tabSelected="1" topLeftCell="A10" workbookViewId="0">
      <selection activeCell="B4" sqref="B4"/>
    </sheetView>
  </sheetViews>
  <sheetFormatPr defaultRowHeight="16.5" x14ac:dyDescent="0.3"/>
  <cols>
    <col min="1" max="1" width="23.625" bestFit="1" customWidth="1"/>
    <col min="2" max="2" width="63.25" bestFit="1" customWidth="1"/>
    <col min="3" max="3" width="35" customWidth="1"/>
    <col min="4" max="4" width="9" style="42"/>
    <col min="5" max="5" width="7.375" bestFit="1" customWidth="1"/>
    <col min="6" max="6" width="11.125" bestFit="1" customWidth="1"/>
  </cols>
  <sheetData>
    <row r="1" spans="1:6" x14ac:dyDescent="0.3">
      <c r="A1" s="33"/>
      <c r="B1" s="33"/>
      <c r="C1" s="33"/>
      <c r="D1" s="38"/>
      <c r="E1" s="44" t="s">
        <v>93</v>
      </c>
      <c r="F1" s="44" t="s">
        <v>91</v>
      </c>
    </row>
    <row r="2" spans="1:6" x14ac:dyDescent="0.3">
      <c r="A2" s="33"/>
      <c r="B2" s="33" t="s">
        <v>14</v>
      </c>
      <c r="C2" s="33" t="s">
        <v>15</v>
      </c>
      <c r="D2" s="38" t="s">
        <v>90</v>
      </c>
      <c r="E2" s="44"/>
      <c r="F2" s="44"/>
    </row>
    <row r="3" spans="1:6" x14ac:dyDescent="0.3">
      <c r="A3" s="33" t="s">
        <v>89</v>
      </c>
      <c r="B3" s="34" t="s">
        <v>204</v>
      </c>
      <c r="C3" s="33" t="s">
        <v>203</v>
      </c>
      <c r="D3" s="38" t="s">
        <v>92</v>
      </c>
      <c r="E3" s="44"/>
      <c r="F3" s="44"/>
    </row>
    <row r="4" spans="1:6" x14ac:dyDescent="0.3">
      <c r="A4" s="28" t="s">
        <v>74</v>
      </c>
      <c r="B4" s="28" t="s">
        <v>94</v>
      </c>
      <c r="C4" s="28"/>
      <c r="D4" s="39"/>
      <c r="E4" s="29">
        <v>0.31</v>
      </c>
      <c r="F4" s="30">
        <v>46080</v>
      </c>
    </row>
    <row r="5" spans="1:6" x14ac:dyDescent="0.3">
      <c r="A5" s="28"/>
      <c r="B5" s="31" t="s">
        <v>85</v>
      </c>
      <c r="C5" s="31"/>
      <c r="D5" s="39"/>
      <c r="E5" s="28"/>
      <c r="F5" s="28"/>
    </row>
    <row r="6" spans="1:6" x14ac:dyDescent="0.3">
      <c r="A6" s="28"/>
      <c r="B6" s="32" t="s">
        <v>76</v>
      </c>
      <c r="C6" s="32"/>
      <c r="D6" s="39"/>
      <c r="E6" s="28"/>
      <c r="F6" s="28"/>
    </row>
    <row r="7" spans="1:6" x14ac:dyDescent="0.3">
      <c r="A7" s="28"/>
      <c r="B7" s="32" t="s">
        <v>75</v>
      </c>
      <c r="C7" s="32"/>
      <c r="D7" s="39"/>
      <c r="E7" s="28"/>
      <c r="F7" s="28"/>
    </row>
    <row r="8" spans="1:6" x14ac:dyDescent="0.3">
      <c r="A8" s="28"/>
      <c r="B8" s="31" t="s">
        <v>86</v>
      </c>
      <c r="C8" s="31"/>
      <c r="D8" s="39"/>
      <c r="E8" s="28"/>
      <c r="F8" s="28"/>
    </row>
    <row r="9" spans="1:6" x14ac:dyDescent="0.3">
      <c r="A9" s="28"/>
      <c r="B9" s="32" t="s">
        <v>79</v>
      </c>
      <c r="C9" s="32"/>
      <c r="D9" s="39"/>
      <c r="E9" s="28"/>
      <c r="F9" s="28"/>
    </row>
    <row r="10" spans="1:6" x14ac:dyDescent="0.3">
      <c r="A10" s="28"/>
      <c r="B10" s="32" t="s">
        <v>77</v>
      </c>
      <c r="C10" s="32"/>
      <c r="D10" s="39"/>
      <c r="E10" s="28"/>
      <c r="F10" s="28"/>
    </row>
    <row r="11" spans="1:6" x14ac:dyDescent="0.3">
      <c r="A11" s="28"/>
      <c r="B11" s="32" t="s">
        <v>78</v>
      </c>
      <c r="C11" s="32"/>
      <c r="D11" s="39"/>
      <c r="E11" s="28"/>
      <c r="F11" s="28"/>
    </row>
    <row r="12" spans="1:6" x14ac:dyDescent="0.3">
      <c r="A12" s="28"/>
      <c r="B12" s="28" t="s">
        <v>87</v>
      </c>
      <c r="C12" s="28" t="s">
        <v>87</v>
      </c>
      <c r="D12" s="39"/>
      <c r="E12" s="28"/>
      <c r="F12" s="28"/>
    </row>
    <row r="13" spans="1:6" x14ac:dyDescent="0.3">
      <c r="A13" s="28"/>
      <c r="B13" s="31" t="s">
        <v>80</v>
      </c>
      <c r="C13" s="31" t="s">
        <v>80</v>
      </c>
      <c r="D13" s="39"/>
      <c r="E13" s="28"/>
      <c r="F13" s="28"/>
    </row>
    <row r="14" spans="1:6" x14ac:dyDescent="0.3">
      <c r="A14" s="28"/>
      <c r="B14" s="31" t="s">
        <v>81</v>
      </c>
      <c r="C14" s="31" t="s">
        <v>81</v>
      </c>
      <c r="D14" s="39"/>
      <c r="E14" s="28"/>
      <c r="F14" s="28"/>
    </row>
    <row r="15" spans="1:6" x14ac:dyDescent="0.3">
      <c r="A15" s="28"/>
      <c r="B15" s="31" t="s">
        <v>82</v>
      </c>
      <c r="C15" s="31" t="s">
        <v>82</v>
      </c>
      <c r="D15" s="39"/>
      <c r="E15" s="28"/>
      <c r="F15" s="28"/>
    </row>
    <row r="16" spans="1:6" x14ac:dyDescent="0.3">
      <c r="A16" s="28"/>
      <c r="B16" s="31" t="s">
        <v>83</v>
      </c>
      <c r="C16" s="31" t="s">
        <v>83</v>
      </c>
      <c r="D16" s="39"/>
      <c r="E16" s="28"/>
      <c r="F16" s="28"/>
    </row>
    <row r="17" spans="1:6" x14ac:dyDescent="0.3">
      <c r="A17" s="28"/>
      <c r="B17" s="31" t="s">
        <v>84</v>
      </c>
      <c r="C17" s="31"/>
      <c r="D17" s="39"/>
      <c r="E17" s="28"/>
      <c r="F17" s="28"/>
    </row>
    <row r="18" spans="1:6" x14ac:dyDescent="0.3">
      <c r="A18" s="1"/>
      <c r="B18" s="1"/>
      <c r="C18" s="1"/>
      <c r="D18" s="40"/>
      <c r="E18" s="1"/>
      <c r="F18" s="1"/>
    </row>
    <row r="19" spans="1:6" x14ac:dyDescent="0.3">
      <c r="A19" s="33"/>
      <c r="B19" s="33"/>
      <c r="C19" s="33"/>
      <c r="D19" s="38"/>
      <c r="E19" s="44" t="s">
        <v>93</v>
      </c>
      <c r="F19" s="44" t="s">
        <v>91</v>
      </c>
    </row>
    <row r="20" spans="1:6" x14ac:dyDescent="0.3">
      <c r="A20" s="33"/>
      <c r="B20" s="33" t="s">
        <v>14</v>
      </c>
      <c r="C20" s="33" t="s">
        <v>15</v>
      </c>
      <c r="D20" s="38" t="s">
        <v>90</v>
      </c>
      <c r="E20" s="44"/>
      <c r="F20" s="44"/>
    </row>
    <row r="21" spans="1:6" x14ac:dyDescent="0.3">
      <c r="A21" s="33" t="s">
        <v>89</v>
      </c>
      <c r="B21" s="33" t="s">
        <v>88</v>
      </c>
      <c r="C21" s="33" t="s">
        <v>202</v>
      </c>
      <c r="D21" s="38" t="s">
        <v>92</v>
      </c>
      <c r="E21" s="44"/>
      <c r="F21" s="44"/>
    </row>
    <row r="22" spans="1:6" x14ac:dyDescent="0.3">
      <c r="A22" s="28" t="s">
        <v>74</v>
      </c>
      <c r="B22" s="28" t="s">
        <v>87</v>
      </c>
      <c r="C22" s="28" t="s">
        <v>87</v>
      </c>
      <c r="D22" s="41">
        <v>1</v>
      </c>
      <c r="E22" s="29">
        <v>0.47</v>
      </c>
      <c r="F22" s="30">
        <v>46080</v>
      </c>
    </row>
    <row r="23" spans="1:6" x14ac:dyDescent="0.3">
      <c r="A23" s="28"/>
      <c r="B23" s="37" t="s">
        <v>167</v>
      </c>
      <c r="C23" s="31" t="s">
        <v>80</v>
      </c>
      <c r="D23" s="39"/>
      <c r="E23" s="28"/>
      <c r="F23" s="28"/>
    </row>
    <row r="24" spans="1:6" x14ac:dyDescent="0.3">
      <c r="A24" s="28"/>
      <c r="B24" s="37" t="s">
        <v>168</v>
      </c>
      <c r="C24" s="31" t="s">
        <v>81</v>
      </c>
      <c r="D24" s="39"/>
      <c r="E24" s="29"/>
      <c r="F24" s="28"/>
    </row>
    <row r="25" spans="1:6" ht="148.5" x14ac:dyDescent="0.3">
      <c r="A25" s="28"/>
      <c r="B25" s="37" t="s">
        <v>165</v>
      </c>
      <c r="C25" s="31" t="s">
        <v>82</v>
      </c>
      <c r="D25" s="39"/>
      <c r="E25" s="28"/>
      <c r="F25" s="28"/>
    </row>
    <row r="26" spans="1:6" ht="132" x14ac:dyDescent="0.3">
      <c r="A26" s="28"/>
      <c r="B26" s="37" t="s">
        <v>169</v>
      </c>
      <c r="C26" s="31" t="s">
        <v>83</v>
      </c>
      <c r="D26" s="39"/>
      <c r="E26" s="28"/>
      <c r="F26" s="28"/>
    </row>
    <row r="28" spans="1:6" x14ac:dyDescent="0.3">
      <c r="A28" s="33"/>
      <c r="B28" s="33"/>
      <c r="C28" s="33"/>
      <c r="D28" s="38"/>
      <c r="E28" s="44" t="s">
        <v>93</v>
      </c>
      <c r="F28" s="44" t="s">
        <v>91</v>
      </c>
    </row>
    <row r="29" spans="1:6" x14ac:dyDescent="0.3">
      <c r="A29" s="33"/>
      <c r="B29" s="33" t="s">
        <v>14</v>
      </c>
      <c r="C29" s="33" t="s">
        <v>15</v>
      </c>
      <c r="D29" s="38" t="s">
        <v>90</v>
      </c>
      <c r="E29" s="44"/>
      <c r="F29" s="44"/>
    </row>
    <row r="30" spans="1:6" x14ac:dyDescent="0.3">
      <c r="A30" s="33" t="s">
        <v>89</v>
      </c>
      <c r="B30" s="33" t="s">
        <v>200</v>
      </c>
      <c r="C30" s="33" t="s">
        <v>201</v>
      </c>
      <c r="D30" s="38" t="s">
        <v>92</v>
      </c>
      <c r="E30" s="44"/>
      <c r="F30" s="44"/>
    </row>
    <row r="31" spans="1:6" x14ac:dyDescent="0.3">
      <c r="A31" s="28" t="s">
        <v>74</v>
      </c>
      <c r="B31" s="28" t="s">
        <v>87</v>
      </c>
      <c r="C31" s="28" t="s">
        <v>87</v>
      </c>
      <c r="D31" s="41">
        <v>1</v>
      </c>
      <c r="E31" s="29">
        <f>달력202601!J16</f>
        <v>0.625</v>
      </c>
      <c r="F31" s="30">
        <v>46080</v>
      </c>
    </row>
    <row r="32" spans="1:6" x14ac:dyDescent="0.3">
      <c r="A32" s="28"/>
      <c r="B32" s="37" t="s">
        <v>167</v>
      </c>
      <c r="C32" s="31" t="s">
        <v>80</v>
      </c>
      <c r="D32" s="39"/>
      <c r="E32" s="28"/>
      <c r="F32" s="28"/>
    </row>
    <row r="33" spans="1:6" x14ac:dyDescent="0.3">
      <c r="A33" s="28"/>
      <c r="B33" s="37" t="s">
        <v>168</v>
      </c>
      <c r="C33" s="31" t="s">
        <v>81</v>
      </c>
      <c r="D33" s="39"/>
      <c r="E33" s="29"/>
      <c r="F33" s="28"/>
    </row>
    <row r="34" spans="1:6" ht="99" x14ac:dyDescent="0.3">
      <c r="A34" s="28"/>
      <c r="B34" s="37" t="s">
        <v>195</v>
      </c>
      <c r="C34" s="37" t="s">
        <v>199</v>
      </c>
      <c r="D34" s="39"/>
      <c r="E34" s="28"/>
      <c r="F34" s="28"/>
    </row>
    <row r="35" spans="1:6" ht="198" x14ac:dyDescent="0.3">
      <c r="A35" s="28"/>
      <c r="B35" s="37" t="s">
        <v>198</v>
      </c>
      <c r="C35" s="37" t="s">
        <v>170</v>
      </c>
      <c r="D35" s="39"/>
      <c r="E35" s="28"/>
      <c r="F35" s="28"/>
    </row>
    <row r="36" spans="1:6" ht="115.5" x14ac:dyDescent="0.3">
      <c r="A36" s="28"/>
      <c r="B36" s="37" t="s">
        <v>196</v>
      </c>
      <c r="C36" s="37" t="s">
        <v>197</v>
      </c>
      <c r="D36" s="39"/>
      <c r="E36" s="28"/>
      <c r="F36" s="28"/>
    </row>
  </sheetData>
  <mergeCells count="6">
    <mergeCell ref="E1:E3"/>
    <mergeCell ref="F1:F3"/>
    <mergeCell ref="E19:E21"/>
    <mergeCell ref="F19:F21"/>
    <mergeCell ref="E28:E30"/>
    <mergeCell ref="F28:F30"/>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375CE-4254-4A42-A950-0A300AC2330C}">
  <dimension ref="A1:E23"/>
  <sheetViews>
    <sheetView workbookViewId="0">
      <selection activeCell="A2" sqref="A2:E23"/>
    </sheetView>
  </sheetViews>
  <sheetFormatPr defaultRowHeight="16.5" x14ac:dyDescent="0.3"/>
  <cols>
    <col min="1" max="1" width="30.125" bestFit="1" customWidth="1"/>
    <col min="2" max="2" width="14.25" bestFit="1" customWidth="1"/>
    <col min="3" max="3" width="13.75" customWidth="1"/>
    <col min="4" max="4" width="23.125" bestFit="1" customWidth="1"/>
    <col min="5" max="5" width="40.625" bestFit="1" customWidth="1"/>
  </cols>
  <sheetData>
    <row r="1" spans="1:5" ht="17.25" thickBot="1" x14ac:dyDescent="0.35"/>
    <row r="2" spans="1:5" ht="17.25" thickBot="1" x14ac:dyDescent="0.25">
      <c r="A2" t="s">
        <v>67</v>
      </c>
      <c r="B2" s="25" t="s">
        <v>16</v>
      </c>
      <c r="C2" s="25" t="s">
        <v>17</v>
      </c>
      <c r="D2" s="25" t="s">
        <v>18</v>
      </c>
      <c r="E2" s="25" t="s">
        <v>19</v>
      </c>
    </row>
    <row r="3" spans="1:5" ht="17.25" thickBot="1" x14ac:dyDescent="0.25">
      <c r="B3" s="25" t="s">
        <v>20</v>
      </c>
      <c r="C3" s="25" t="s">
        <v>21</v>
      </c>
      <c r="D3" s="25" t="s">
        <v>22</v>
      </c>
      <c r="E3" s="25" t="s">
        <v>23</v>
      </c>
    </row>
    <row r="4" spans="1:5" ht="17.25" thickBot="1" x14ac:dyDescent="0.25">
      <c r="B4" s="25" t="s">
        <v>24</v>
      </c>
      <c r="C4" s="25" t="s">
        <v>21</v>
      </c>
      <c r="D4" s="25" t="s">
        <v>25</v>
      </c>
      <c r="E4" s="25" t="s">
        <v>26</v>
      </c>
    </row>
    <row r="5" spans="1:5" ht="17.25" thickBot="1" x14ac:dyDescent="0.25">
      <c r="B5" s="25" t="s">
        <v>27</v>
      </c>
      <c r="C5" s="25" t="s">
        <v>28</v>
      </c>
      <c r="D5" s="25" t="s">
        <v>29</v>
      </c>
      <c r="E5" s="25" t="s">
        <v>30</v>
      </c>
    </row>
    <row r="6" spans="1:5" ht="17.25" thickBot="1" x14ac:dyDescent="0.25">
      <c r="B6" s="25" t="s">
        <v>31</v>
      </c>
      <c r="C6" s="25" t="s">
        <v>28</v>
      </c>
      <c r="D6" s="25" t="s">
        <v>32</v>
      </c>
      <c r="E6" s="25" t="s">
        <v>33</v>
      </c>
    </row>
    <row r="7" spans="1:5" ht="17.25" thickBot="1" x14ac:dyDescent="0.35"/>
    <row r="8" spans="1:5" ht="17.25" thickBot="1" x14ac:dyDescent="0.25">
      <c r="A8" t="s">
        <v>68</v>
      </c>
      <c r="B8" s="25" t="s">
        <v>16</v>
      </c>
      <c r="C8" s="25" t="s">
        <v>34</v>
      </c>
      <c r="D8" s="25" t="s">
        <v>35</v>
      </c>
      <c r="E8" s="25" t="s">
        <v>19</v>
      </c>
    </row>
    <row r="9" spans="1:5" ht="17.25" thickBot="1" x14ac:dyDescent="0.25">
      <c r="B9" s="25" t="s">
        <v>36</v>
      </c>
      <c r="C9" s="25" t="s">
        <v>37</v>
      </c>
      <c r="D9" s="25" t="s">
        <v>38</v>
      </c>
      <c r="E9" s="26" t="s">
        <v>39</v>
      </c>
    </row>
    <row r="10" spans="1:5" ht="17.25" thickBot="1" x14ac:dyDescent="0.25">
      <c r="B10" s="25" t="s">
        <v>40</v>
      </c>
      <c r="C10" s="25" t="s">
        <v>41</v>
      </c>
      <c r="D10" s="25" t="s">
        <v>42</v>
      </c>
      <c r="E10" s="26" t="s">
        <v>43</v>
      </c>
    </row>
    <row r="11" spans="1:5" ht="17.25" thickBot="1" x14ac:dyDescent="0.25">
      <c r="B11" s="25" t="s">
        <v>44</v>
      </c>
      <c r="C11" s="25" t="s">
        <v>41</v>
      </c>
      <c r="D11" s="25" t="s">
        <v>45</v>
      </c>
      <c r="E11" s="26" t="s">
        <v>46</v>
      </c>
    </row>
    <row r="12" spans="1:5" ht="17.25" thickBot="1" x14ac:dyDescent="0.25">
      <c r="B12" s="25" t="s">
        <v>47</v>
      </c>
      <c r="C12" s="25" t="s">
        <v>48</v>
      </c>
      <c r="D12" s="25" t="s">
        <v>49</v>
      </c>
      <c r="E12" s="26" t="s">
        <v>50</v>
      </c>
    </row>
    <row r="13" spans="1:5" ht="17.25" thickBot="1" x14ac:dyDescent="0.35"/>
    <row r="14" spans="1:5" ht="17.25" thickBot="1" x14ac:dyDescent="0.25">
      <c r="A14" t="s">
        <v>69</v>
      </c>
      <c r="B14" s="25" t="s">
        <v>16</v>
      </c>
      <c r="C14" s="25" t="s">
        <v>51</v>
      </c>
      <c r="D14" s="25" t="s">
        <v>52</v>
      </c>
      <c r="E14" s="25" t="s">
        <v>19</v>
      </c>
    </row>
    <row r="15" spans="1:5" ht="17.25" thickBot="1" x14ac:dyDescent="0.25">
      <c r="B15" s="25" t="s">
        <v>53</v>
      </c>
      <c r="C15" s="25" t="s">
        <v>54</v>
      </c>
      <c r="D15" s="25" t="s">
        <v>55</v>
      </c>
      <c r="E15" s="26" t="s">
        <v>56</v>
      </c>
    </row>
    <row r="16" spans="1:5" ht="17.25" thickBot="1" x14ac:dyDescent="0.25">
      <c r="B16" s="25" t="s">
        <v>57</v>
      </c>
      <c r="C16" s="25" t="s">
        <v>58</v>
      </c>
      <c r="D16" s="25" t="s">
        <v>59</v>
      </c>
      <c r="E16" s="26" t="s">
        <v>60</v>
      </c>
    </row>
    <row r="17" spans="2:5" ht="17.25" thickBot="1" x14ac:dyDescent="0.25">
      <c r="B17" s="25" t="s">
        <v>61</v>
      </c>
      <c r="C17" s="25" t="s">
        <v>58</v>
      </c>
      <c r="D17" s="25" t="s">
        <v>62</v>
      </c>
      <c r="E17" s="26" t="s">
        <v>63</v>
      </c>
    </row>
    <row r="18" spans="2:5" ht="17.25" thickBot="1" x14ac:dyDescent="0.25">
      <c r="B18" s="25" t="s">
        <v>64</v>
      </c>
      <c r="C18" s="25" t="s">
        <v>58</v>
      </c>
      <c r="D18" s="25" t="s">
        <v>65</v>
      </c>
      <c r="E18" s="26" t="s">
        <v>66</v>
      </c>
    </row>
    <row r="20" spans="2:5" x14ac:dyDescent="0.25">
      <c r="B20" s="27" t="s">
        <v>70</v>
      </c>
    </row>
    <row r="21" spans="2:5" x14ac:dyDescent="0.25">
      <c r="B21" s="27" t="s">
        <v>71</v>
      </c>
    </row>
    <row r="22" spans="2:5" x14ac:dyDescent="0.25">
      <c r="B22" s="27" t="s">
        <v>72</v>
      </c>
    </row>
    <row r="23" spans="2:5" x14ac:dyDescent="0.25">
      <c r="B23" s="27" t="s">
        <v>73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78B6-3020-44D8-8683-6B8BC7F2D788}">
  <dimension ref="A1:T24"/>
  <sheetViews>
    <sheetView workbookViewId="0">
      <selection activeCell="G28" sqref="G28"/>
    </sheetView>
  </sheetViews>
  <sheetFormatPr defaultRowHeight="16.5" x14ac:dyDescent="0.3"/>
  <cols>
    <col min="2" max="3" width="17.75" customWidth="1"/>
    <col min="4" max="4" width="15.625" customWidth="1"/>
    <col min="11" max="11" width="13.125" bestFit="1" customWidth="1"/>
    <col min="16" max="16" width="18.75" bestFit="1" customWidth="1"/>
  </cols>
  <sheetData>
    <row r="1" spans="4:20" x14ac:dyDescent="0.3">
      <c r="D1" t="s">
        <v>110</v>
      </c>
      <c r="G1" t="s">
        <v>107</v>
      </c>
      <c r="H1" t="s">
        <v>120</v>
      </c>
      <c r="K1" t="s">
        <v>121</v>
      </c>
      <c r="O1" t="s">
        <v>119</v>
      </c>
      <c r="P1" t="s">
        <v>124</v>
      </c>
      <c r="S1" t="s">
        <v>136</v>
      </c>
    </row>
    <row r="2" spans="4:20" x14ac:dyDescent="0.3">
      <c r="D2" t="s">
        <v>97</v>
      </c>
      <c r="E2" t="s">
        <v>106</v>
      </c>
      <c r="F2" t="s">
        <v>119</v>
      </c>
      <c r="G2" t="s">
        <v>111</v>
      </c>
      <c r="H2" t="s">
        <v>112</v>
      </c>
      <c r="K2" t="s">
        <v>101</v>
      </c>
      <c r="L2" t="s">
        <v>106</v>
      </c>
      <c r="P2" t="s">
        <v>128</v>
      </c>
      <c r="R2" t="s">
        <v>105</v>
      </c>
      <c r="S2" t="s">
        <v>101</v>
      </c>
    </row>
    <row r="3" spans="4:20" x14ac:dyDescent="0.3">
      <c r="D3" t="s">
        <v>98</v>
      </c>
      <c r="E3" t="s">
        <v>105</v>
      </c>
      <c r="F3" t="s">
        <v>119</v>
      </c>
      <c r="G3" t="s">
        <v>113</v>
      </c>
      <c r="H3" t="s">
        <v>114</v>
      </c>
      <c r="K3" t="s">
        <v>122</v>
      </c>
      <c r="L3" t="s">
        <v>106</v>
      </c>
      <c r="P3" t="s">
        <v>129</v>
      </c>
      <c r="R3" t="s">
        <v>105</v>
      </c>
      <c r="S3" t="s">
        <v>137</v>
      </c>
    </row>
    <row r="4" spans="4:20" x14ac:dyDescent="0.3">
      <c r="D4" t="s">
        <v>109</v>
      </c>
      <c r="E4" t="s">
        <v>108</v>
      </c>
      <c r="F4" t="s">
        <v>119</v>
      </c>
      <c r="G4" t="s">
        <v>115</v>
      </c>
      <c r="H4" t="s">
        <v>118</v>
      </c>
      <c r="K4" t="s">
        <v>126</v>
      </c>
      <c r="L4" t="s">
        <v>108</v>
      </c>
      <c r="M4" t="s">
        <v>127</v>
      </c>
      <c r="P4" t="s">
        <v>130</v>
      </c>
      <c r="R4" t="s">
        <v>148</v>
      </c>
      <c r="S4" t="s">
        <v>138</v>
      </c>
    </row>
    <row r="5" spans="4:20" x14ac:dyDescent="0.3">
      <c r="D5" t="s">
        <v>99</v>
      </c>
      <c r="E5" t="s">
        <v>105</v>
      </c>
      <c r="F5" t="s">
        <v>119</v>
      </c>
      <c r="G5" t="s">
        <v>116</v>
      </c>
      <c r="H5" t="s">
        <v>117</v>
      </c>
      <c r="K5" t="s">
        <v>123</v>
      </c>
      <c r="L5" t="s">
        <v>106</v>
      </c>
      <c r="P5" t="s">
        <v>131</v>
      </c>
      <c r="R5" t="s">
        <v>105</v>
      </c>
      <c r="S5" t="s">
        <v>139</v>
      </c>
      <c r="T5" t="s">
        <v>146</v>
      </c>
    </row>
    <row r="6" spans="4:20" x14ac:dyDescent="0.3">
      <c r="D6" t="s">
        <v>100</v>
      </c>
      <c r="E6" t="s">
        <v>105</v>
      </c>
      <c r="K6" t="s">
        <v>125</v>
      </c>
      <c r="L6" t="s">
        <v>124</v>
      </c>
      <c r="P6" t="s">
        <v>132</v>
      </c>
      <c r="Q6" t="s">
        <v>133</v>
      </c>
      <c r="R6" t="s">
        <v>105</v>
      </c>
      <c r="S6" t="s">
        <v>140</v>
      </c>
      <c r="T6" t="s">
        <v>145</v>
      </c>
    </row>
    <row r="7" spans="4:20" x14ac:dyDescent="0.3">
      <c r="D7" t="s">
        <v>102</v>
      </c>
      <c r="E7" t="s">
        <v>105</v>
      </c>
      <c r="K7" t="s">
        <v>103</v>
      </c>
      <c r="L7" t="s">
        <v>106</v>
      </c>
      <c r="P7" t="s">
        <v>134</v>
      </c>
      <c r="Q7" t="s">
        <v>135</v>
      </c>
      <c r="R7" t="s">
        <v>147</v>
      </c>
      <c r="S7" t="s">
        <v>141</v>
      </c>
      <c r="T7" t="s">
        <v>144</v>
      </c>
    </row>
    <row r="8" spans="4:20" x14ac:dyDescent="0.3">
      <c r="D8" t="s">
        <v>104</v>
      </c>
      <c r="E8" t="s">
        <v>105</v>
      </c>
      <c r="R8" t="s">
        <v>147</v>
      </c>
      <c r="S8" t="s">
        <v>142</v>
      </c>
      <c r="T8" t="s">
        <v>143</v>
      </c>
    </row>
    <row r="17" spans="1:5" x14ac:dyDescent="0.3">
      <c r="A17" t="s">
        <v>149</v>
      </c>
      <c r="B17" t="s">
        <v>100</v>
      </c>
      <c r="D17" t="s">
        <v>150</v>
      </c>
    </row>
    <row r="18" spans="1:5" x14ac:dyDescent="0.3">
      <c r="B18" t="s">
        <v>151</v>
      </c>
      <c r="C18" t="s">
        <v>159</v>
      </c>
      <c r="D18" t="s">
        <v>156</v>
      </c>
    </row>
    <row r="19" spans="1:5" x14ac:dyDescent="0.3">
      <c r="D19" t="s">
        <v>157</v>
      </c>
    </row>
    <row r="20" spans="1:5" x14ac:dyDescent="0.3">
      <c r="D20" t="s">
        <v>158</v>
      </c>
    </row>
    <row r="21" spans="1:5" x14ac:dyDescent="0.3">
      <c r="B21" t="s">
        <v>152</v>
      </c>
      <c r="C21" t="s">
        <v>114</v>
      </c>
      <c r="D21" t="s">
        <v>155</v>
      </c>
      <c r="E21" t="s">
        <v>154</v>
      </c>
    </row>
    <row r="22" spans="1:5" x14ac:dyDescent="0.3">
      <c r="C22" t="s">
        <v>114</v>
      </c>
      <c r="D22" t="s">
        <v>153</v>
      </c>
      <c r="E22" t="s">
        <v>150</v>
      </c>
    </row>
    <row r="24" spans="1:5" x14ac:dyDescent="0.3">
      <c r="C24" t="s">
        <v>159</v>
      </c>
      <c r="D24" t="s">
        <v>160</v>
      </c>
      <c r="E24" t="s">
        <v>161</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3127-3A7D-4B09-9699-DE32BE2C81E4}">
  <dimension ref="B2:C2"/>
  <sheetViews>
    <sheetView workbookViewId="0">
      <selection activeCell="C2" sqref="C2"/>
    </sheetView>
  </sheetViews>
  <sheetFormatPr defaultRowHeight="16.5" x14ac:dyDescent="0.3"/>
  <cols>
    <col min="2" max="2" width="19.25" bestFit="1" customWidth="1"/>
    <col min="3" max="3" width="107.125" customWidth="1"/>
  </cols>
  <sheetData>
    <row r="2" spans="2:3" ht="75" x14ac:dyDescent="0.3">
      <c r="B2" t="s">
        <v>162</v>
      </c>
      <c r="C2" s="35" t="s">
        <v>163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C9FCF-9F23-4058-AC64-68E80BD09365}">
  <dimension ref="C2:E26"/>
  <sheetViews>
    <sheetView workbookViewId="0">
      <selection activeCell="E2" sqref="E2:E26"/>
    </sheetView>
  </sheetViews>
  <sheetFormatPr defaultRowHeight="16.5" x14ac:dyDescent="0.3"/>
  <cols>
    <col min="3" max="3" width="38.375" customWidth="1"/>
    <col min="4" max="4" width="3.5" bestFit="1" customWidth="1"/>
    <col min="5" max="5" width="31.25" bestFit="1" customWidth="1"/>
  </cols>
  <sheetData>
    <row r="2" spans="3:5" x14ac:dyDescent="0.3">
      <c r="C2" s="45" t="s">
        <v>171</v>
      </c>
      <c r="D2">
        <v>1</v>
      </c>
      <c r="E2" t="str">
        <f>D2&amp; "." &amp; C2</f>
        <v>1.고객 로그인</v>
      </c>
    </row>
    <row r="3" spans="3:5" x14ac:dyDescent="0.3">
      <c r="C3" s="45" t="s">
        <v>172</v>
      </c>
      <c r="D3">
        <v>2</v>
      </c>
      <c r="E3" t="str">
        <f t="shared" ref="E3:E26" si="0">D3&amp; "." &amp; C3</f>
        <v>2.고객 로그아웃</v>
      </c>
    </row>
    <row r="4" spans="3:5" ht="27" x14ac:dyDescent="0.3">
      <c r="C4" s="45" t="s">
        <v>173</v>
      </c>
      <c r="D4">
        <v>3</v>
      </c>
      <c r="E4" t="str">
        <f t="shared" si="0"/>
        <v>3.고객 상담시작(이전 채팅 연결)</v>
      </c>
    </row>
    <row r="5" spans="3:5" ht="18" x14ac:dyDescent="0.3">
      <c r="C5" s="45" t="s">
        <v>174</v>
      </c>
      <c r="D5">
        <v>4</v>
      </c>
      <c r="E5" t="str">
        <f t="shared" si="0"/>
        <v>4.고객 상담 종료</v>
      </c>
    </row>
    <row r="6" spans="3:5" ht="18" x14ac:dyDescent="0.3">
      <c r="C6" s="45" t="s">
        <v>175</v>
      </c>
      <c r="D6">
        <v>5</v>
      </c>
      <c r="E6" t="str">
        <f t="shared" si="0"/>
        <v>5.고객 최종 상담 정보</v>
      </c>
    </row>
    <row r="7" spans="3:5" x14ac:dyDescent="0.3">
      <c r="C7" s="45" t="s">
        <v>176</v>
      </c>
      <c r="D7">
        <v>1</v>
      </c>
      <c r="E7" t="str">
        <f t="shared" si="0"/>
        <v>1.상담사 로그인</v>
      </c>
    </row>
    <row r="8" spans="3:5" ht="18" x14ac:dyDescent="0.3">
      <c r="C8" s="45" t="s">
        <v>177</v>
      </c>
      <c r="D8">
        <v>2</v>
      </c>
      <c r="E8" t="str">
        <f t="shared" si="0"/>
        <v>2.상담사 정보 확인</v>
      </c>
    </row>
    <row r="9" spans="3:5" ht="18" x14ac:dyDescent="0.3">
      <c r="C9" s="45" t="s">
        <v>178</v>
      </c>
      <c r="D9">
        <v>3</v>
      </c>
      <c r="E9" t="str">
        <f t="shared" si="0"/>
        <v>3.상담사 로그아웃</v>
      </c>
    </row>
    <row r="10" spans="3:5" ht="18" x14ac:dyDescent="0.3">
      <c r="C10" s="45" t="s">
        <v>179</v>
      </c>
      <c r="D10">
        <v>4</v>
      </c>
      <c r="E10" t="str">
        <f t="shared" si="0"/>
        <v>4.전체 상담방 조회</v>
      </c>
    </row>
    <row r="11" spans="3:5" ht="18" x14ac:dyDescent="0.3">
      <c r="C11" s="45" t="s">
        <v>180</v>
      </c>
      <c r="D11">
        <v>5</v>
      </c>
      <c r="E11" t="str">
        <f t="shared" si="0"/>
        <v>5.특정 상담방 상세 조회</v>
      </c>
    </row>
    <row r="12" spans="3:5" ht="18" x14ac:dyDescent="0.3">
      <c r="C12" s="45" t="s">
        <v>181</v>
      </c>
      <c r="D12">
        <v>6</v>
      </c>
      <c r="E12" t="str">
        <f t="shared" si="0"/>
        <v>6.특정 상담방 삭제</v>
      </c>
    </row>
    <row r="13" spans="3:5" x14ac:dyDescent="0.3">
      <c r="C13" s="45" t="s">
        <v>182</v>
      </c>
      <c r="D13">
        <v>7</v>
      </c>
      <c r="E13" t="str">
        <f t="shared" si="0"/>
        <v>7.상담사 개입</v>
      </c>
    </row>
    <row r="14" spans="3:5" ht="27" x14ac:dyDescent="0.3">
      <c r="C14" s="45" t="s">
        <v>183</v>
      </c>
      <c r="D14">
        <v>8</v>
      </c>
      <c r="E14" t="str">
        <f t="shared" si="0"/>
        <v>8.상담사 연결 가능 상태 조회</v>
      </c>
    </row>
    <row r="15" spans="3:5" ht="18" x14ac:dyDescent="0.3">
      <c r="C15" s="45" t="s">
        <v>184</v>
      </c>
      <c r="D15">
        <v>9</v>
      </c>
      <c r="E15" t="str">
        <f t="shared" si="0"/>
        <v>9.상담사 상태 조회</v>
      </c>
    </row>
    <row r="16" spans="3:5" ht="18" x14ac:dyDescent="0.3">
      <c r="C16" s="45" t="s">
        <v>47</v>
      </c>
      <c r="D16">
        <v>10</v>
      </c>
      <c r="E16" t="str">
        <f t="shared" si="0"/>
        <v>10.상담사 상태 변경</v>
      </c>
    </row>
    <row r="17" spans="3:5" ht="18" x14ac:dyDescent="0.3">
      <c r="C17" s="45" t="s">
        <v>185</v>
      </c>
      <c r="D17">
        <v>11</v>
      </c>
      <c r="E17" t="str">
        <f t="shared" si="0"/>
        <v>11.상담사 하드비트 전송</v>
      </c>
    </row>
    <row r="18" spans="3:5" ht="18" x14ac:dyDescent="0.3">
      <c r="C18" s="45" t="s">
        <v>186</v>
      </c>
      <c r="D18">
        <v>1</v>
      </c>
      <c r="E18" t="str">
        <f t="shared" si="0"/>
        <v>1.상담방정리 스케줄러 시작</v>
      </c>
    </row>
    <row r="19" spans="3:5" ht="18" x14ac:dyDescent="0.3">
      <c r="C19" s="45" t="s">
        <v>187</v>
      </c>
      <c r="D19">
        <v>2</v>
      </c>
      <c r="E19" t="str">
        <f t="shared" si="0"/>
        <v>2.상담방정리 스케줄러 중지</v>
      </c>
    </row>
    <row r="20" spans="3:5" ht="27" x14ac:dyDescent="0.3">
      <c r="C20" s="45" t="s">
        <v>188</v>
      </c>
      <c r="D20">
        <v>3</v>
      </c>
      <c r="E20" t="str">
        <f t="shared" si="0"/>
        <v>3.상담방정리 스케쥴러 상태 조회</v>
      </c>
    </row>
    <row r="21" spans="3:5" ht="18" x14ac:dyDescent="0.3">
      <c r="C21" s="45" t="s">
        <v>189</v>
      </c>
      <c r="D21">
        <v>1</v>
      </c>
      <c r="E21" t="str">
        <f t="shared" si="0"/>
        <v>1.고객의 상담사 연결 요청</v>
      </c>
    </row>
    <row r="22" spans="3:5" ht="27" x14ac:dyDescent="0.3">
      <c r="C22" s="45" t="s">
        <v>190</v>
      </c>
      <c r="D22">
        <v>2</v>
      </c>
      <c r="E22" t="str">
        <f t="shared" si="0"/>
        <v>2.고객의 상담사 연결 요청 취소</v>
      </c>
    </row>
    <row r="23" spans="3:5" ht="18" x14ac:dyDescent="0.3">
      <c r="C23" s="45" t="s">
        <v>191</v>
      </c>
      <c r="D23">
        <v>3</v>
      </c>
      <c r="E23" t="str">
        <f t="shared" si="0"/>
        <v>3.상담사 메시지 전송</v>
      </c>
    </row>
    <row r="24" spans="3:5" ht="18" x14ac:dyDescent="0.3">
      <c r="C24" s="45" t="s">
        <v>192</v>
      </c>
      <c r="D24">
        <v>4</v>
      </c>
      <c r="E24" t="str">
        <f t="shared" si="0"/>
        <v>4.고객 메시지 전송</v>
      </c>
    </row>
    <row r="25" spans="3:5" ht="18" x14ac:dyDescent="0.3">
      <c r="C25" s="46" t="s">
        <v>193</v>
      </c>
      <c r="D25">
        <v>5</v>
      </c>
      <c r="E25" t="str">
        <f t="shared" si="0"/>
        <v>5.웹소켓 연결 준비</v>
      </c>
    </row>
    <row r="26" spans="3:5" x14ac:dyDescent="0.3">
      <c r="C26" s="46" t="s">
        <v>194</v>
      </c>
      <c r="D26">
        <v>6</v>
      </c>
      <c r="E26" t="str">
        <f t="shared" si="0"/>
        <v>6.웹소켓 연결</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달력202601</vt:lpstr>
      <vt:lpstr>주간업무보고</vt:lpstr>
      <vt:lpstr>관련API(조사중)</vt:lpstr>
      <vt:lpstr>AICC-CHAT 모델</vt:lpstr>
      <vt:lpstr>AICC-CHAT 메시지</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PALMAN HEO</dc:creator>
  <cp:lastModifiedBy>PALMAN HEO</cp:lastModifiedBy>
  <dcterms:created xsi:type="dcterms:W3CDTF">2026-01-15T00:19:40Z</dcterms:created>
  <dcterms:modified xsi:type="dcterms:W3CDTF">2026-02-05T06:09:55Z</dcterms:modified>
</cp:coreProperties>
</file>